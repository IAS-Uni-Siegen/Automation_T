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kash Sah\ownCloud\Courses\Automation_technologies\exam\WiSe_2025\"/>
    </mc:Choice>
  </mc:AlternateContent>
  <xr:revisionPtr revIDLastSave="0" documentId="13_ncr:1_{440A9203-9C35-4414-83BD-3783F5E4BA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definedNames>
    <definedName name="delta">Tabelle1!$AV$74</definedName>
    <definedName name="Grenzen">Tabelle1!$AW$62:$AW$72</definedName>
    <definedName name="noten">Tabelle1!$AY$62:$AY$72</definedName>
    <definedName name="Teilnehmer">Tabelle1!$BA$74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0" i="1" l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W80" i="1"/>
  <c r="X80" i="1"/>
  <c r="Y80" i="1"/>
  <c r="Z80" i="1"/>
  <c r="AM80" i="1" s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D15" i="1"/>
  <c r="AE15" i="1"/>
  <c r="AF15" i="1"/>
  <c r="AG15" i="1"/>
  <c r="AH15" i="1"/>
  <c r="AI15" i="1"/>
  <c r="AJ15" i="1"/>
  <c r="AK15" i="1"/>
  <c r="AL15" i="1"/>
  <c r="H12" i="1"/>
  <c r="M12" i="1"/>
  <c r="M11" i="1" s="1"/>
  <c r="N12" i="1"/>
  <c r="N11" i="1" s="1"/>
  <c r="O12" i="1"/>
  <c r="O11" i="1" s="1"/>
  <c r="P12" i="1"/>
  <c r="P11" i="1" s="1"/>
  <c r="Q12" i="1"/>
  <c r="Q11" i="1" s="1"/>
  <c r="R12" i="1"/>
  <c r="R11" i="1" s="1"/>
  <c r="S12" i="1"/>
  <c r="S11" i="1" s="1"/>
  <c r="T12" i="1"/>
  <c r="T11" i="1" s="1"/>
  <c r="U12" i="1"/>
  <c r="U11" i="1" s="1"/>
  <c r="K6" i="1"/>
  <c r="L6" i="1"/>
  <c r="M6" i="1"/>
  <c r="N6" i="1"/>
  <c r="O6" i="1"/>
  <c r="P6" i="1"/>
  <c r="Q6" i="1"/>
  <c r="R6" i="1"/>
  <c r="S6" i="1"/>
  <c r="T6" i="1"/>
  <c r="U6" i="1"/>
  <c r="W5" i="1"/>
  <c r="B11" i="1"/>
  <c r="AC15" i="1"/>
  <c r="AB15" i="1"/>
  <c r="AA15" i="1"/>
  <c r="Z15" i="1"/>
  <c r="X15" i="1"/>
  <c r="W15" i="1"/>
  <c r="K12" i="1"/>
  <c r="K11" i="1" s="1"/>
  <c r="L12" i="1"/>
  <c r="L11" i="1" s="1"/>
  <c r="AM42" i="1" l="1"/>
  <c r="AM43" i="1"/>
  <c r="AM40" i="1"/>
  <c r="AR40" i="1" s="1"/>
  <c r="AM78" i="1"/>
  <c r="AM73" i="1"/>
  <c r="AM52" i="1"/>
  <c r="AM41" i="1"/>
  <c r="AM70" i="1"/>
  <c r="AM79" i="1"/>
  <c r="AM76" i="1"/>
  <c r="AM77" i="1"/>
  <c r="AM44" i="1"/>
  <c r="AR44" i="1" s="1"/>
  <c r="AM69" i="1"/>
  <c r="AM75" i="1"/>
  <c r="AM74" i="1"/>
  <c r="AM72" i="1"/>
  <c r="AM71" i="1"/>
  <c r="AM51" i="1"/>
  <c r="AM57" i="1"/>
  <c r="AR57" i="1" s="1"/>
  <c r="AM64" i="1"/>
  <c r="AM61" i="1"/>
  <c r="AR61" i="1" s="1"/>
  <c r="AM59" i="1"/>
  <c r="AR59" i="1" s="1"/>
  <c r="AM60" i="1"/>
  <c r="AR60" i="1" s="1"/>
  <c r="AM47" i="1"/>
  <c r="AR47" i="1" s="1"/>
  <c r="AM68" i="1"/>
  <c r="AM66" i="1"/>
  <c r="AM65" i="1"/>
  <c r="AM56" i="1"/>
  <c r="AR56" i="1" s="1"/>
  <c r="AM55" i="1"/>
  <c r="AR55" i="1" s="1"/>
  <c r="AM50" i="1"/>
  <c r="AR50" i="1" s="1"/>
  <c r="AM48" i="1"/>
  <c r="AR48" i="1" s="1"/>
  <c r="AM62" i="1"/>
  <c r="AR62" i="1" s="1"/>
  <c r="AM54" i="1"/>
  <c r="AR54" i="1" s="1"/>
  <c r="AM67" i="1"/>
  <c r="AM58" i="1"/>
  <c r="AR58" i="1" s="1"/>
  <c r="AM49" i="1"/>
  <c r="AR49" i="1" s="1"/>
  <c r="AM53" i="1"/>
  <c r="AR53" i="1" s="1"/>
  <c r="AM63" i="1"/>
  <c r="AR63" i="1" s="1"/>
  <c r="AR42" i="1"/>
  <c r="AM45" i="1"/>
  <c r="AR45" i="1" s="1"/>
  <c r="AM36" i="1"/>
  <c r="AR36" i="1" s="1"/>
  <c r="AM37" i="1"/>
  <c r="AR37" i="1" s="1"/>
  <c r="AM30" i="1"/>
  <c r="AR30" i="1" s="1"/>
  <c r="AR51" i="1"/>
  <c r="AM29" i="1"/>
  <c r="AR29" i="1" s="1"/>
  <c r="AM31" i="1"/>
  <c r="AR31" i="1" s="1"/>
  <c r="AM39" i="1"/>
  <c r="AR39" i="1" s="1"/>
  <c r="AM33" i="1"/>
  <c r="AR33" i="1" s="1"/>
  <c r="AM46" i="1"/>
  <c r="AR46" i="1" s="1"/>
  <c r="AM38" i="1"/>
  <c r="AR38" i="1" s="1"/>
  <c r="AR43" i="1"/>
  <c r="AR52" i="1"/>
  <c r="AR41" i="1"/>
  <c r="AM32" i="1"/>
  <c r="AR32" i="1" s="1"/>
  <c r="AM28" i="1"/>
  <c r="AR28" i="1" s="1"/>
  <c r="AM34" i="1"/>
  <c r="AR34" i="1" s="1"/>
  <c r="AM35" i="1"/>
  <c r="AR35" i="1" s="1"/>
  <c r="AM27" i="1" l="1"/>
  <c r="AM18" i="1" l="1"/>
  <c r="AR18" i="1" s="1"/>
  <c r="AM25" i="1"/>
  <c r="AR25" i="1" s="1"/>
  <c r="AM20" i="1"/>
  <c r="AR20" i="1" s="1"/>
  <c r="AM17" i="1"/>
  <c r="AR17" i="1" s="1"/>
  <c r="AM24" i="1"/>
  <c r="AR24" i="1" s="1"/>
  <c r="AM19" i="1"/>
  <c r="AR19" i="1" s="1"/>
  <c r="AM26" i="1"/>
  <c r="AR26" i="1" s="1"/>
  <c r="AM21" i="1"/>
  <c r="AR21" i="1" s="1"/>
  <c r="AM16" i="1"/>
  <c r="AR16" i="1" s="1"/>
  <c r="AM22" i="1"/>
  <c r="AR22" i="1" s="1"/>
  <c r="AM23" i="1"/>
  <c r="AR23" i="1" s="1"/>
  <c r="AR27" i="1"/>
  <c r="J12" i="1"/>
  <c r="J11" i="1" s="1"/>
  <c r="Y15" i="1" l="1"/>
  <c r="AM15" i="1" s="1"/>
  <c r="AR15" i="1" l="1"/>
  <c r="B12" i="1"/>
  <c r="G12" i="1"/>
  <c r="G11" i="1" s="1"/>
  <c r="H11" i="1"/>
  <c r="I12" i="1"/>
  <c r="I11" i="1" s="1"/>
  <c r="F12" i="1"/>
  <c r="F11" i="1" s="1"/>
  <c r="N9" i="1" l="1"/>
  <c r="Q9" i="1"/>
  <c r="M9" i="1"/>
  <c r="P9" i="1"/>
  <c r="T9" i="1"/>
  <c r="U9" i="1"/>
  <c r="O9" i="1"/>
  <c r="R9" i="1"/>
  <c r="S9" i="1"/>
  <c r="AV16" i="1"/>
  <c r="AV72" i="1"/>
  <c r="AW72" i="1" s="1"/>
  <c r="AV63" i="1"/>
  <c r="AW63" i="1" s="1"/>
  <c r="G6" i="1"/>
  <c r="H6" i="1"/>
  <c r="I6" i="1"/>
  <c r="J6" i="1"/>
  <c r="F6" i="1"/>
  <c r="AW62" i="1"/>
  <c r="AV21" i="1"/>
  <c r="AW22" i="1" s="1"/>
  <c r="AV30" i="1"/>
  <c r="AW31" i="1"/>
  <c r="AZ31" i="1" s="1"/>
  <c r="AV74" i="1" l="1"/>
  <c r="AV64" i="1" s="1"/>
  <c r="AW64" i="1" s="1"/>
  <c r="AV29" i="1" s="1"/>
  <c r="AW30" i="1" s="1"/>
  <c r="AZ30" i="1" s="1"/>
  <c r="AW14" i="1"/>
  <c r="AW21" i="1"/>
  <c r="AZ21" i="1" s="1"/>
  <c r="AW13" i="1"/>
  <c r="AV65" i="1" l="1"/>
  <c r="AW65" i="1" s="1"/>
  <c r="AV28" i="1" s="1"/>
  <c r="AW29" i="1" s="1"/>
  <c r="AZ29" i="1" s="1"/>
  <c r="AV66" i="1" l="1"/>
  <c r="AW66" i="1" s="1"/>
  <c r="AV27" i="1" s="1"/>
  <c r="AW28" i="1" s="1"/>
  <c r="AZ28" i="1" s="1"/>
  <c r="L9" i="1" l="1"/>
  <c r="J9" i="1"/>
  <c r="I9" i="1"/>
  <c r="H9" i="1"/>
  <c r="F9" i="1"/>
  <c r="G9" i="1"/>
  <c r="K9" i="1"/>
  <c r="AV67" i="1"/>
  <c r="AW67" i="1" s="1"/>
  <c r="AS47" i="1" l="1"/>
  <c r="AS62" i="1"/>
  <c r="AS39" i="1"/>
  <c r="AS51" i="1"/>
  <c r="AS63" i="1"/>
  <c r="AS30" i="1"/>
  <c r="AS29" i="1"/>
  <c r="AV68" i="1"/>
  <c r="AW68" i="1" s="1"/>
  <c r="AV25" i="1" s="1"/>
  <c r="AW26" i="1" s="1"/>
  <c r="AV26" i="1"/>
  <c r="AW27" i="1" s="1"/>
  <c r="AZ27" i="1" s="1"/>
  <c r="AZ26" i="1" l="1"/>
  <c r="AV69" i="1"/>
  <c r="AV70" i="1" s="1"/>
  <c r="AW69" i="1" l="1"/>
  <c r="AV24" i="1" s="1"/>
  <c r="AW25" i="1" s="1"/>
  <c r="AZ25" i="1" s="1"/>
  <c r="AV71" i="1"/>
  <c r="AW71" i="1" s="1"/>
  <c r="AV22" i="1" s="1"/>
  <c r="AW70" i="1"/>
  <c r="AS48" i="1" l="1"/>
  <c r="AS15" i="1"/>
  <c r="AS33" i="1"/>
  <c r="AS60" i="1"/>
  <c r="AS40" i="1"/>
  <c r="AS59" i="1"/>
  <c r="AS61" i="1"/>
  <c r="AS57" i="1"/>
  <c r="AS41" i="1"/>
  <c r="AS42" i="1"/>
  <c r="AS53" i="1"/>
  <c r="AS56" i="1"/>
  <c r="AS55" i="1"/>
  <c r="AS45" i="1"/>
  <c r="AS44" i="1"/>
  <c r="AS46" i="1"/>
  <c r="AS32" i="1"/>
  <c r="AS31" i="1"/>
  <c r="AS36" i="1"/>
  <c r="AS50" i="1"/>
  <c r="AS37" i="1"/>
  <c r="AS49" i="1"/>
  <c r="AS54" i="1"/>
  <c r="AS58" i="1"/>
  <c r="AS38" i="1"/>
  <c r="AS43" i="1"/>
  <c r="AS34" i="1"/>
  <c r="AS52" i="1"/>
  <c r="AS28" i="1"/>
  <c r="AS35" i="1"/>
  <c r="AS19" i="1"/>
  <c r="AS26" i="1"/>
  <c r="AS24" i="1"/>
  <c r="AS16" i="1"/>
  <c r="AS27" i="1"/>
  <c r="AS21" i="1"/>
  <c r="AS17" i="1"/>
  <c r="AS22" i="1"/>
  <c r="AS25" i="1"/>
  <c r="AS23" i="1"/>
  <c r="AS20" i="1"/>
  <c r="AS18" i="1"/>
  <c r="AW23" i="1"/>
  <c r="AZ22" i="1"/>
  <c r="AV23" i="1"/>
  <c r="AW24" i="1" s="1"/>
  <c r="AZ24" i="1" s="1"/>
  <c r="BA63" i="1" l="1"/>
  <c r="BA64" i="1"/>
  <c r="BA65" i="1"/>
  <c r="BA66" i="1"/>
  <c r="BA70" i="1"/>
  <c r="AX31" i="1"/>
  <c r="BA67" i="1"/>
  <c r="BA71" i="1"/>
  <c r="BA68" i="1"/>
  <c r="BA72" i="1"/>
  <c r="BA69" i="1"/>
  <c r="BA62" i="1"/>
  <c r="AX24" i="1"/>
  <c r="AX29" i="1"/>
  <c r="AX26" i="1"/>
  <c r="AX30" i="1"/>
  <c r="AX27" i="1"/>
  <c r="AX25" i="1"/>
  <c r="AX22" i="1"/>
  <c r="AX21" i="1"/>
  <c r="AX28" i="1"/>
  <c r="AX23" i="1"/>
  <c r="AZ23" i="1"/>
  <c r="AZ32" i="1" l="1"/>
  <c r="AZ34" i="1" s="1"/>
  <c r="BA74" i="1"/>
  <c r="BB74" i="1" s="1"/>
  <c r="AZ3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Ein geschätzter Microsoft Office Anwender</author>
  </authors>
  <commentList>
    <comment ref="AU63" authorId="0" shapeId="0" xr:uid="{00000000-0006-0000-0000-000001000000}">
      <text>
        <r>
          <rPr>
            <sz val="8"/>
            <color indexed="81"/>
            <rFont val="Tahoma"/>
          </rPr>
          <t>Grenze ab der bestanden wird, muß vom Benutzer eingegeben werden.</t>
        </r>
      </text>
    </comment>
    <comment ref="AU72" authorId="0" shapeId="0" xr:uid="{00000000-0006-0000-0000-000002000000}">
      <text>
        <r>
          <rPr>
            <sz val="8"/>
            <color indexed="81"/>
            <rFont val="Tahoma"/>
          </rPr>
          <t>Grenze für die 1,0 muß vom Benutzer vorgegeben werden; die anderen Grenzen liegen damit linear geteilt zwischen den Grenzen für 4,0 und 1,0</t>
        </r>
      </text>
    </comment>
  </commentList>
</comments>
</file>

<file path=xl/sharedStrings.xml><?xml version="1.0" encoding="utf-8"?>
<sst xmlns="http://schemas.openxmlformats.org/spreadsheetml/2006/main" count="317" uniqueCount="167">
  <si>
    <t>Name</t>
  </si>
  <si>
    <t>Matrikel-Nr.</t>
  </si>
  <si>
    <t>Punktzahl</t>
  </si>
  <si>
    <t>Note</t>
  </si>
  <si>
    <t>obere Grenze (1,0):</t>
  </si>
  <si>
    <t>ges. Punktzahl:</t>
  </si>
  <si>
    <t>von</t>
  </si>
  <si>
    <t>bis</t>
  </si>
  <si>
    <t>Anzahl</t>
  </si>
  <si>
    <t>Abstände:</t>
  </si>
  <si>
    <t>Kontrolle:</t>
  </si>
  <si>
    <t>Summe:</t>
  </si>
  <si>
    <t>Notendurchschnitt:</t>
  </si>
  <si>
    <t>Grenze f 4.0</t>
  </si>
  <si>
    <t>gr 3.7</t>
  </si>
  <si>
    <t>gr 3.3</t>
  </si>
  <si>
    <t>gr 3.0</t>
  </si>
  <si>
    <t>gr 2.7</t>
  </si>
  <si>
    <t>gr 2.3</t>
  </si>
  <si>
    <t>gr 2.0</t>
  </si>
  <si>
    <t>gr 1.7</t>
  </si>
  <si>
    <t>gr1.3</t>
  </si>
  <si>
    <t>Grenze f 1.0</t>
  </si>
  <si>
    <t>delta</t>
  </si>
  <si>
    <t>Teilnehmer</t>
  </si>
  <si>
    <t>Durchschnittsnote</t>
  </si>
  <si>
    <t>a</t>
  </si>
  <si>
    <t>untere Grenze(4,0):</t>
  </si>
  <si>
    <t>Grenzen aktuelle Prüfung:</t>
  </si>
  <si>
    <t>Berechnung der Notengrenzen:</t>
  </si>
  <si>
    <t>in %</t>
  </si>
  <si>
    <t>Noten:</t>
  </si>
  <si>
    <t>Vorname</t>
  </si>
  <si>
    <t>Aufgabe 1</t>
  </si>
  <si>
    <t>Aufgabe 2</t>
  </si>
  <si>
    <t>Aufgabe 3</t>
  </si>
  <si>
    <t>Aufgabe 4</t>
  </si>
  <si>
    <t>Aufgabe 5</t>
  </si>
  <si>
    <t>Gewichtung</t>
  </si>
  <si>
    <t>Durchfallrate</t>
  </si>
  <si>
    <t>Maximalpunktzahl</t>
  </si>
  <si>
    <t>Gesamt</t>
  </si>
  <si>
    <t>Nummer</t>
  </si>
  <si>
    <t>Punkte vor Gewichtung</t>
  </si>
  <si>
    <t>Punkte nach Gewichtung</t>
  </si>
  <si>
    <t>nach Gewichtung</t>
  </si>
  <si>
    <t>Mittelwert</t>
  </si>
  <si>
    <t>Korrigiert</t>
  </si>
  <si>
    <t>Abwesend</t>
  </si>
  <si>
    <t xml:space="preserve"> </t>
  </si>
  <si>
    <t>Mittelwert Punkte:</t>
  </si>
  <si>
    <t>Aufgabe 6</t>
  </si>
  <si>
    <t>EMPE WiSe 2020/21</t>
  </si>
  <si>
    <t>Singh</t>
  </si>
  <si>
    <t>Vartak</t>
  </si>
  <si>
    <t>Joshi</t>
  </si>
  <si>
    <t>Khan</t>
  </si>
  <si>
    <t>More</t>
  </si>
  <si>
    <t>Patel</t>
  </si>
  <si>
    <t>Santhosh</t>
  </si>
  <si>
    <t>Aufgabe 7</t>
  </si>
  <si>
    <t>Aufgabe 8</t>
  </si>
  <si>
    <t>Aufgabe 9</t>
  </si>
  <si>
    <t>Aufgabe 10</t>
  </si>
  <si>
    <t>Aufgabe 11</t>
  </si>
  <si>
    <t>Aufgabe 12</t>
  </si>
  <si>
    <t>Aufgabe 13</t>
  </si>
  <si>
    <t>Aufgabe 14</t>
  </si>
  <si>
    <t>Aufgabe 15</t>
  </si>
  <si>
    <t>Aufgabe 16</t>
  </si>
  <si>
    <t>Anjanreddy Gari</t>
  </si>
  <si>
    <t>Sindhu Sree</t>
  </si>
  <si>
    <t>Asmar</t>
  </si>
  <si>
    <t>Shardul Vinod</t>
  </si>
  <si>
    <t>Babar</t>
  </si>
  <si>
    <t>Devraj Dushyant</t>
  </si>
  <si>
    <t>Birje</t>
  </si>
  <si>
    <t>Shubham Shivaji</t>
  </si>
  <si>
    <t>Born</t>
  </si>
  <si>
    <t>Niklas</t>
  </si>
  <si>
    <t>Choudhary</t>
  </si>
  <si>
    <t>Lokesh Bhagaram</t>
  </si>
  <si>
    <t>Davis Thakkolkaran</t>
  </si>
  <si>
    <t>Antony</t>
  </si>
  <si>
    <t>Dwarampudi</t>
  </si>
  <si>
    <t>Deeksha Kanaka Lakshmi</t>
  </si>
  <si>
    <t>Gali Suresh</t>
  </si>
  <si>
    <t>Chirag</t>
  </si>
  <si>
    <t>Gerges</t>
  </si>
  <si>
    <t>Remon</t>
  </si>
  <si>
    <t>Gonemadathala</t>
  </si>
  <si>
    <t>Veera Venkata Satyanarayana</t>
  </si>
  <si>
    <t>Gopi</t>
  </si>
  <si>
    <t>Vasanth</t>
  </si>
  <si>
    <t>Jadhav</t>
  </si>
  <si>
    <t>Mahesh Arun</t>
  </si>
  <si>
    <t>Pratham</t>
  </si>
  <si>
    <t>Adnan</t>
  </si>
  <si>
    <t>Mohammad Saad Saeed</t>
  </si>
  <si>
    <t>Kolayil</t>
  </si>
  <si>
    <t>Adith</t>
  </si>
  <si>
    <t>Lagad</t>
  </si>
  <si>
    <t>Sakshi</t>
  </si>
  <si>
    <t>Lange</t>
  </si>
  <si>
    <t>Felix</t>
  </si>
  <si>
    <t>Manikandaraja</t>
  </si>
  <si>
    <t>Monish</t>
  </si>
  <si>
    <t>Manoj</t>
  </si>
  <si>
    <t>Dany</t>
  </si>
  <si>
    <t>Mathew</t>
  </si>
  <si>
    <t>Alen</t>
  </si>
  <si>
    <t>McIllece</t>
  </si>
  <si>
    <t>Kyle</t>
  </si>
  <si>
    <t>Mohod</t>
  </si>
  <si>
    <t>Pratik Prakash</t>
  </si>
  <si>
    <t>Omkar</t>
  </si>
  <si>
    <t>Mysore Raviprakash</t>
  </si>
  <si>
    <t>Noyonika</t>
  </si>
  <si>
    <t>Nakpaijit</t>
  </si>
  <si>
    <t>Khemjira</t>
  </si>
  <si>
    <t>Nalawade</t>
  </si>
  <si>
    <t>Ningnure</t>
  </si>
  <si>
    <t>Aniruddha</t>
  </si>
  <si>
    <t>Orth</t>
  </si>
  <si>
    <t>Benjamin</t>
  </si>
  <si>
    <t>Pandey</t>
  </si>
  <si>
    <t>Tarun</t>
  </si>
  <si>
    <t>Parassery</t>
  </si>
  <si>
    <t>Parthiban</t>
  </si>
  <si>
    <t>Nevil Chandrakant</t>
  </si>
  <si>
    <t>Patil</t>
  </si>
  <si>
    <t>Shivraj Arvind</t>
  </si>
  <si>
    <t>Philipose Varghese</t>
  </si>
  <si>
    <t>Shawn</t>
  </si>
  <si>
    <t>Prasad</t>
  </si>
  <si>
    <t>Hari</t>
  </si>
  <si>
    <t>Raj</t>
  </si>
  <si>
    <t>Dev</t>
  </si>
  <si>
    <t>Ramachandran</t>
  </si>
  <si>
    <t>Anushree</t>
  </si>
  <si>
    <t>Rupapara</t>
  </si>
  <si>
    <t>Kaushal</t>
  </si>
  <si>
    <t>Scheid</t>
  </si>
  <si>
    <t>Leo Robert</t>
  </si>
  <si>
    <t>Shanmugam</t>
  </si>
  <si>
    <t>Sharma</t>
  </si>
  <si>
    <t>Dipit</t>
  </si>
  <si>
    <t>Shastri</t>
  </si>
  <si>
    <t>Narayan Yashwant</t>
  </si>
  <si>
    <t>Shukla</t>
  </si>
  <si>
    <t>Yash</t>
  </si>
  <si>
    <t>Devender</t>
  </si>
  <si>
    <t>Sridhar</t>
  </si>
  <si>
    <t>Sanjiv</t>
  </si>
  <si>
    <t>Tandel</t>
  </si>
  <si>
    <t>Pranjali</t>
  </si>
  <si>
    <t>Tangella</t>
  </si>
  <si>
    <t>Tarun Tej</t>
  </si>
  <si>
    <t>Thirugnanasambandam</t>
  </si>
  <si>
    <t>Srihari</t>
  </si>
  <si>
    <t>Dhwanit</t>
  </si>
  <si>
    <t>Vasamsetty</t>
  </si>
  <si>
    <t>Ritiesh</t>
  </si>
  <si>
    <t>Venkatesan</t>
  </si>
  <si>
    <t>Ajaykrishna</t>
  </si>
  <si>
    <t>Vikhe</t>
  </si>
  <si>
    <t>Mangesh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</si>
</sst>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Arial"/>
    </font>
    <font>
      <sz val="10"/>
      <name val="Arial"/>
    </font>
    <font>
      <sz val="9"/>
      <name val="Arial"/>
      <family val="2"/>
    </font>
    <font>
      <sz val="12"/>
      <name val="Arial"/>
    </font>
    <font>
      <sz val="12"/>
      <name val="Arial"/>
      <family val="2"/>
    </font>
    <font>
      <sz val="8"/>
      <name val="Arial"/>
    </font>
    <font>
      <sz val="10"/>
      <name val="Times New Roman"/>
    </font>
    <font>
      <sz val="8"/>
      <color indexed="81"/>
      <name val="Tahoma"/>
    </font>
    <font>
      <b/>
      <sz val="9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9"/>
      <color rgb="FFFF0000"/>
      <name val="Arial"/>
      <family val="2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11" fillId="0" borderId="0" applyNumberFormat="0" applyFont="0" applyFill="0" applyBorder="0" applyAlignment="0" applyProtection="0"/>
    <xf numFmtId="0" fontId="12" fillId="0" borderId="0"/>
    <xf numFmtId="9" fontId="1" fillId="0" borderId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5" fillId="0" borderId="0"/>
  </cellStyleXfs>
  <cellXfs count="101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3" borderId="5" xfId="0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/>
    <xf numFmtId="0" fontId="2" fillId="3" borderId="13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2" borderId="15" xfId="0" applyFont="1" applyFill="1" applyBorder="1"/>
    <xf numFmtId="0" fontId="2" fillId="3" borderId="16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4" borderId="0" xfId="0" applyFont="1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/>
      <protection hidden="1"/>
    </xf>
    <xf numFmtId="0" fontId="2" fillId="4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0" fontId="4" fillId="2" borderId="27" xfId="0" applyFont="1" applyFill="1" applyBorder="1" applyAlignment="1" applyProtection="1">
      <alignment horizontal="center"/>
      <protection hidden="1"/>
    </xf>
    <xf numFmtId="0" fontId="6" fillId="0" borderId="0" xfId="0" applyFont="1"/>
    <xf numFmtId="0" fontId="6" fillId="0" borderId="2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26" xfId="0" applyFont="1" applyBorder="1"/>
    <xf numFmtId="0" fontId="3" fillId="0" borderId="26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23" xfId="0" quotePrefix="1" applyFont="1" applyFill="1" applyBorder="1" applyAlignment="1">
      <alignment horizontal="center"/>
    </xf>
    <xf numFmtId="0" fontId="2" fillId="0" borderId="29" xfId="0" applyFont="1" applyBorder="1" applyAlignment="1" applyProtection="1">
      <alignment horizontal="center"/>
      <protection locked="0"/>
    </xf>
    <xf numFmtId="0" fontId="2" fillId="3" borderId="11" xfId="0" applyFont="1" applyFill="1" applyBorder="1" applyAlignment="1" applyProtection="1">
      <alignment horizontal="center"/>
      <protection locked="0"/>
    </xf>
    <xf numFmtId="164" fontId="6" fillId="0" borderId="0" xfId="0" applyNumberFormat="1" applyFont="1" applyAlignment="1">
      <alignment horizontal="center"/>
    </xf>
    <xf numFmtId="10" fontId="2" fillId="2" borderId="11" xfId="0" applyNumberFormat="1" applyFont="1" applyFill="1" applyBorder="1" applyAlignment="1">
      <alignment horizontal="center"/>
    </xf>
    <xf numFmtId="0" fontId="2" fillId="5" borderId="0" xfId="0" applyFont="1" applyFill="1"/>
    <xf numFmtId="0" fontId="2" fillId="5" borderId="30" xfId="0" applyFont="1" applyFill="1" applyBorder="1"/>
    <xf numFmtId="0" fontId="2" fillId="5" borderId="8" xfId="0" applyFont="1" applyFill="1" applyBorder="1"/>
    <xf numFmtId="0" fontId="2" fillId="5" borderId="31" xfId="0" applyFont="1" applyFill="1" applyBorder="1"/>
    <xf numFmtId="10" fontId="2" fillId="5" borderId="26" xfId="0" applyNumberFormat="1" applyFont="1" applyFill="1" applyBorder="1"/>
    <xf numFmtId="0" fontId="2" fillId="5" borderId="4" xfId="0" applyFont="1" applyFill="1" applyBorder="1"/>
    <xf numFmtId="0" fontId="2" fillId="5" borderId="32" xfId="0" applyFont="1" applyFill="1" applyBorder="1"/>
    <xf numFmtId="0" fontId="8" fillId="5" borderId="23" xfId="0" applyFont="1" applyFill="1" applyBorder="1"/>
    <xf numFmtId="0" fontId="8" fillId="5" borderId="33" xfId="0" applyFont="1" applyFill="1" applyBorder="1"/>
    <xf numFmtId="0" fontId="8" fillId="5" borderId="6" xfId="0" applyFont="1" applyFill="1" applyBorder="1"/>
    <xf numFmtId="0" fontId="8" fillId="5" borderId="34" xfId="0" applyFont="1" applyFill="1" applyBorder="1"/>
    <xf numFmtId="0" fontId="8" fillId="5" borderId="35" xfId="0" applyFont="1" applyFill="1" applyBorder="1"/>
    <xf numFmtId="0" fontId="8" fillId="0" borderId="0" xfId="0" applyFont="1"/>
    <xf numFmtId="0" fontId="2" fillId="2" borderId="36" xfId="0" applyFont="1" applyFill="1" applyBorder="1"/>
    <xf numFmtId="0" fontId="9" fillId="0" borderId="37" xfId="0" applyFont="1" applyBorder="1" applyAlignment="1">
      <alignment horizontal="left"/>
    </xf>
    <xf numFmtId="0" fontId="10" fillId="0" borderId="0" xfId="0" applyFont="1"/>
    <xf numFmtId="9" fontId="2" fillId="0" borderId="0" xfId="3" applyFont="1" applyFill="1" applyBorder="1"/>
    <xf numFmtId="0" fontId="9" fillId="0" borderId="0" xfId="0" applyFont="1"/>
    <xf numFmtId="0" fontId="9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3" borderId="17" xfId="0" applyFont="1" applyFill="1" applyBorder="1" applyAlignment="1" applyProtection="1">
      <alignment horizontal="center"/>
      <protection locked="0"/>
    </xf>
    <xf numFmtId="0" fontId="13" fillId="0" borderId="0" xfId="0" applyFont="1"/>
    <xf numFmtId="0" fontId="14" fillId="0" borderId="0" xfId="0" applyFont="1"/>
    <xf numFmtId="0" fontId="15" fillId="0" borderId="26" xfId="7" applyBorder="1" applyProtection="1">
      <protection locked="0"/>
    </xf>
    <xf numFmtId="0" fontId="2" fillId="2" borderId="34" xfId="0" applyFont="1" applyFill="1" applyBorder="1"/>
    <xf numFmtId="0" fontId="2" fillId="2" borderId="35" xfId="0" applyFont="1" applyFill="1" applyBorder="1"/>
    <xf numFmtId="0" fontId="2" fillId="6" borderId="38" xfId="0" applyFont="1" applyFill="1" applyBorder="1"/>
    <xf numFmtId="0" fontId="2" fillId="6" borderId="34" xfId="0" applyFont="1" applyFill="1" applyBorder="1"/>
    <xf numFmtId="0" fontId="2" fillId="6" borderId="35" xfId="0" applyFont="1" applyFill="1" applyBorder="1"/>
    <xf numFmtId="0" fontId="2" fillId="5" borderId="38" xfId="0" applyFont="1" applyFill="1" applyBorder="1"/>
    <xf numFmtId="0" fontId="2" fillId="5" borderId="34" xfId="0" applyFont="1" applyFill="1" applyBorder="1"/>
    <xf numFmtId="0" fontId="2" fillId="5" borderId="35" xfId="0" applyFont="1" applyFill="1" applyBorder="1"/>
    <xf numFmtId="0" fontId="2" fillId="2" borderId="39" xfId="0" applyFont="1" applyFill="1" applyBorder="1" applyAlignment="1">
      <alignment horizontal="center"/>
    </xf>
    <xf numFmtId="0" fontId="2" fillId="6" borderId="38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5" borderId="38" xfId="0" applyFont="1" applyFill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8" fillId="2" borderId="40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26" xfId="0" applyBorder="1"/>
    <xf numFmtId="0" fontId="0" fillId="7" borderId="0" xfId="0" applyFill="1"/>
    <xf numFmtId="2" fontId="9" fillId="0" borderId="26" xfId="0" applyNumberFormat="1" applyFont="1" applyBorder="1" applyAlignment="1">
      <alignment horizontal="center"/>
    </xf>
    <xf numFmtId="2" fontId="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15" fillId="0" borderId="26" xfId="7" applyNumberFormat="1" applyBorder="1" applyProtection="1">
      <protection locked="0"/>
    </xf>
    <xf numFmtId="2" fontId="2" fillId="0" borderId="0" xfId="0" applyNumberFormat="1" applyFont="1"/>
    <xf numFmtId="2" fontId="9" fillId="8" borderId="26" xfId="0" applyNumberFormat="1" applyFont="1" applyFill="1" applyBorder="1" applyAlignment="1">
      <alignment horizontal="center"/>
    </xf>
    <xf numFmtId="2" fontId="1" fillId="8" borderId="26" xfId="0" applyNumberFormat="1" applyFont="1" applyFill="1" applyBorder="1" applyAlignment="1">
      <alignment horizontal="center"/>
    </xf>
    <xf numFmtId="2" fontId="15" fillId="8" borderId="26" xfId="7" applyNumberFormat="1" applyFill="1" applyBorder="1" applyProtection="1">
      <protection locked="0"/>
    </xf>
  </cellXfs>
  <cellStyles count="8">
    <cellStyle name="Normal" xfId="0" builtinId="0"/>
    <cellStyle name="Percent" xfId="3" builtinId="5"/>
    <cellStyle name="Standard 2" xfId="1" xr:uid="{00000000-0005-0000-0000-000002000000}"/>
    <cellStyle name="Standard 3" xfId="2" xr:uid="{00000000-0005-0000-0000-000003000000}"/>
    <cellStyle name="Standard 4" xfId="4" xr:uid="{00000000-0005-0000-0000-000004000000}"/>
    <cellStyle name="Standard 5" xfId="5" xr:uid="{00000000-0005-0000-0000-000005000000}"/>
    <cellStyle name="Standard 6" xfId="6" xr:uid="{00000000-0005-0000-0000-000006000000}"/>
    <cellStyle name="Standard 7" xfId="7" xr:uid="{00000000-0005-0000-0000-00003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Notenspiegel Klausur Actorics WS 2024</a:t>
            </a:r>
          </a:p>
        </c:rich>
      </c:tx>
      <c:layout>
        <c:manualLayout>
          <c:xMode val="edge"/>
          <c:yMode val="edge"/>
          <c:x val="0.14871812818269511"/>
          <c:y val="3.34346504559270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85486921552687"/>
          <c:y val="0.18541033434650456"/>
          <c:w val="0.87521513624321623"/>
          <c:h val="0.6231003039513677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Tabelle1!$AU$21:$AU$31</c:f>
              <c:numCache>
                <c:formatCode>General</c:formatCode>
                <c:ptCount val="11"/>
                <c:pt idx="0">
                  <c:v>1</c:v>
                </c:pt>
                <c:pt idx="1">
                  <c:v>1.3</c:v>
                </c:pt>
                <c:pt idx="2">
                  <c:v>1.7</c:v>
                </c:pt>
                <c:pt idx="3">
                  <c:v>2</c:v>
                </c:pt>
                <c:pt idx="4">
                  <c:v>2.2999999999999998</c:v>
                </c:pt>
                <c:pt idx="5">
                  <c:v>2.7</c:v>
                </c:pt>
                <c:pt idx="6">
                  <c:v>3</c:v>
                </c:pt>
                <c:pt idx="7">
                  <c:v>3.3</c:v>
                </c:pt>
                <c:pt idx="8">
                  <c:v>3.7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Tabelle1!$AX$21:$AX$31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6-42F1-AD30-FA2914796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733272"/>
        <c:axId val="359733664"/>
      </c:barChart>
      <c:catAx>
        <c:axId val="359733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Note</a:t>
                </a:r>
              </a:p>
            </c:rich>
          </c:tx>
          <c:layout>
            <c:manualLayout>
              <c:xMode val="edge"/>
              <c:yMode val="edge"/>
              <c:x val="0.47521439307266078"/>
              <c:y val="0.890577507598784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597336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597336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Anzahl</a:t>
                </a:r>
              </a:p>
            </c:rich>
          </c:tx>
          <c:layout>
            <c:manualLayout>
              <c:xMode val="edge"/>
              <c:yMode val="edge"/>
              <c:x val="2.735042735042735E-2"/>
              <c:y val="0.434650455927051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59733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525" verticalDpi="525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504825</xdr:colOff>
      <xdr:row>18</xdr:row>
      <xdr:rowOff>171450</xdr:rowOff>
    </xdr:from>
    <xdr:to>
      <xdr:col>63</xdr:col>
      <xdr:colOff>419100</xdr:colOff>
      <xdr:row>35</xdr:row>
      <xdr:rowOff>0</xdr:rowOff>
    </xdr:to>
    <xdr:graphicFrame macro="">
      <xdr:nvGraphicFramePr>
        <xdr:cNvPr id="1154" name="Chart 11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B80"/>
  <sheetViews>
    <sheetView tabSelected="1" topLeftCell="V2" zoomScale="70" zoomScaleNormal="70" workbookViewId="0">
      <selection activeCell="AO26" sqref="AO26"/>
    </sheetView>
  </sheetViews>
  <sheetFormatPr defaultColWidth="11.5546875" defaultRowHeight="11.4" x14ac:dyDescent="0.2"/>
  <cols>
    <col min="1" max="1" width="7.6640625" style="1" customWidth="1"/>
    <col min="2" max="2" width="8.88671875" style="1" customWidth="1"/>
    <col min="3" max="3" width="33.33203125" style="1" customWidth="1"/>
    <col min="4" max="4" width="29.6640625" style="1" customWidth="1"/>
    <col min="5" max="5" width="15.44140625" style="1" customWidth="1"/>
    <col min="6" max="38" width="10.6640625" style="1" customWidth="1"/>
    <col min="39" max="39" width="9.6640625" style="1" customWidth="1"/>
    <col min="40" max="40" width="21.109375" style="1" customWidth="1"/>
    <col min="41" max="42" width="24.109375" style="1" customWidth="1"/>
    <col min="43" max="43" width="10.6640625" style="1" customWidth="1"/>
    <col min="44" max="44" width="11" style="1" customWidth="1"/>
    <col min="45" max="45" width="9.6640625" style="1" customWidth="1"/>
    <col min="46" max="46" width="12.5546875" style="1" customWidth="1"/>
    <col min="47" max="47" width="17" style="1" customWidth="1"/>
    <col min="48" max="50" width="12.109375" style="1" customWidth="1"/>
    <col min="51" max="61" width="7.6640625" style="1" customWidth="1"/>
    <col min="62" max="16384" width="11.5546875" style="1"/>
  </cols>
  <sheetData>
    <row r="2" spans="1:49" ht="14.4" thickBot="1" x14ac:dyDescent="0.3">
      <c r="B2" s="70" t="s">
        <v>52</v>
      </c>
    </row>
    <row r="3" spans="1:49" ht="12" x14ac:dyDescent="0.25">
      <c r="E3" s="53"/>
      <c r="F3" s="57" t="s">
        <v>33</v>
      </c>
      <c r="G3" s="57" t="s">
        <v>34</v>
      </c>
      <c r="H3" s="57" t="s">
        <v>35</v>
      </c>
      <c r="I3" s="57" t="s">
        <v>36</v>
      </c>
      <c r="J3" s="57" t="s">
        <v>37</v>
      </c>
      <c r="K3" s="57" t="s">
        <v>51</v>
      </c>
      <c r="L3" s="57" t="s">
        <v>60</v>
      </c>
      <c r="M3" s="57" t="s">
        <v>61</v>
      </c>
      <c r="N3" s="57" t="s">
        <v>62</v>
      </c>
      <c r="O3" s="57" t="s">
        <v>63</v>
      </c>
      <c r="P3" s="57" t="s">
        <v>64</v>
      </c>
      <c r="Q3" s="57" t="s">
        <v>65</v>
      </c>
      <c r="R3" s="57" t="s">
        <v>66</v>
      </c>
      <c r="S3" s="57" t="s">
        <v>67</v>
      </c>
      <c r="T3" s="57" t="s">
        <v>68</v>
      </c>
      <c r="U3" s="57" t="s">
        <v>69</v>
      </c>
      <c r="V3" s="58"/>
      <c r="W3" s="59" t="s">
        <v>41</v>
      </c>
    </row>
    <row r="4" spans="1:49" ht="12" x14ac:dyDescent="0.25">
      <c r="B4" s="71"/>
      <c r="E4" s="55" t="s">
        <v>38</v>
      </c>
      <c r="F4" s="52">
        <v>1</v>
      </c>
      <c r="G4" s="52">
        <v>1</v>
      </c>
      <c r="H4" s="52">
        <v>1</v>
      </c>
      <c r="I4" s="52">
        <v>1</v>
      </c>
      <c r="J4" s="52">
        <v>1</v>
      </c>
      <c r="K4" s="52">
        <v>1</v>
      </c>
      <c r="L4" s="52">
        <v>1</v>
      </c>
      <c r="M4" s="52">
        <v>1</v>
      </c>
      <c r="N4" s="52">
        <v>1</v>
      </c>
      <c r="O4" s="52">
        <v>1</v>
      </c>
      <c r="P4" s="52">
        <v>1</v>
      </c>
      <c r="Q4" s="52">
        <v>1</v>
      </c>
      <c r="R4" s="52">
        <v>1</v>
      </c>
      <c r="S4" s="52">
        <v>1</v>
      </c>
      <c r="T4" s="52">
        <v>1</v>
      </c>
      <c r="U4" s="52">
        <v>1</v>
      </c>
      <c r="V4" s="48"/>
      <c r="W4" s="49"/>
    </row>
    <row r="5" spans="1:49" ht="12.6" thickBot="1" x14ac:dyDescent="0.3">
      <c r="E5" s="56" t="s">
        <v>40</v>
      </c>
      <c r="F5" s="54">
        <v>2</v>
      </c>
      <c r="G5" s="54">
        <v>2</v>
      </c>
      <c r="H5" s="54">
        <v>6</v>
      </c>
      <c r="I5" s="54">
        <v>8</v>
      </c>
      <c r="J5" s="54">
        <v>6</v>
      </c>
      <c r="K5" s="54">
        <v>7</v>
      </c>
      <c r="L5" s="54">
        <v>5</v>
      </c>
      <c r="M5" s="54">
        <v>12</v>
      </c>
      <c r="N5" s="54">
        <v>10</v>
      </c>
      <c r="O5" s="54">
        <v>12</v>
      </c>
      <c r="P5" s="54">
        <v>1</v>
      </c>
      <c r="Q5" s="54">
        <v>1</v>
      </c>
      <c r="R5" s="54">
        <v>1</v>
      </c>
      <c r="S5" s="54">
        <v>1</v>
      </c>
      <c r="T5" s="54">
        <v>1.5</v>
      </c>
      <c r="U5" s="54">
        <v>1.5</v>
      </c>
      <c r="V5" s="50"/>
      <c r="W5" s="51">
        <f>J5*J4+I5*I4+H5*H4+G5*G4+F5*F4+K5*K4+L4*L5+U4*U5+M5*M4+N5*N4+O5*O4+P5*P4+Q5*Q4+R5*R4+S5*S4+T5*T4</f>
        <v>77</v>
      </c>
    </row>
    <row r="6" spans="1:49" ht="12" x14ac:dyDescent="0.25">
      <c r="E6" s="60" t="s">
        <v>45</v>
      </c>
      <c r="F6" s="1">
        <f t="shared" ref="F6:U6" si="0">F4*F5</f>
        <v>2</v>
      </c>
      <c r="G6" s="1">
        <f t="shared" si="0"/>
        <v>2</v>
      </c>
      <c r="H6" s="1">
        <f t="shared" si="0"/>
        <v>6</v>
      </c>
      <c r="I6" s="1">
        <f t="shared" si="0"/>
        <v>8</v>
      </c>
      <c r="J6" s="1">
        <f t="shared" si="0"/>
        <v>6</v>
      </c>
      <c r="K6" s="1">
        <f t="shared" si="0"/>
        <v>7</v>
      </c>
      <c r="L6" s="1">
        <f t="shared" si="0"/>
        <v>5</v>
      </c>
      <c r="M6" s="1">
        <f t="shared" si="0"/>
        <v>12</v>
      </c>
      <c r="N6" s="1">
        <f t="shared" si="0"/>
        <v>10</v>
      </c>
      <c r="O6" s="1">
        <f t="shared" si="0"/>
        <v>12</v>
      </c>
      <c r="P6" s="1">
        <f t="shared" si="0"/>
        <v>1</v>
      </c>
      <c r="Q6" s="1">
        <f t="shared" si="0"/>
        <v>1</v>
      </c>
      <c r="R6" s="1">
        <f t="shared" si="0"/>
        <v>1</v>
      </c>
      <c r="S6" s="1">
        <f t="shared" si="0"/>
        <v>1</v>
      </c>
      <c r="T6" s="1">
        <f t="shared" si="0"/>
        <v>1.5</v>
      </c>
      <c r="U6" s="1">
        <f t="shared" si="0"/>
        <v>1.5</v>
      </c>
    </row>
    <row r="7" spans="1:49" ht="12" x14ac:dyDescent="0.25">
      <c r="E7" s="60"/>
    </row>
    <row r="8" spans="1:49" ht="12" x14ac:dyDescent="0.25">
      <c r="E8" s="60"/>
    </row>
    <row r="9" spans="1:49" ht="12" x14ac:dyDescent="0.25">
      <c r="E9" s="60" t="s">
        <v>47</v>
      </c>
      <c r="F9" s="64">
        <f>COUNT(F15:F500)/($B$11-$B$12)</f>
        <v>0.77272727272727271</v>
      </c>
      <c r="G9" s="64">
        <f t="shared" ref="G9:J9" si="1">COUNT(G15:G500)/($B$11-$B$12)</f>
        <v>0.77272727272727271</v>
      </c>
      <c r="H9" s="64">
        <f t="shared" si="1"/>
        <v>0.77272727272727271</v>
      </c>
      <c r="I9" s="64">
        <f t="shared" si="1"/>
        <v>0.77272727272727271</v>
      </c>
      <c r="J9" s="64">
        <f t="shared" si="1"/>
        <v>0.77272727272727271</v>
      </c>
      <c r="K9" s="64">
        <f>COUNT(K15:K500)/($B$11-$B$12)</f>
        <v>0.77272727272727271</v>
      </c>
      <c r="L9" s="64">
        <f>COUNT(L15:L500)/($B$11-$B$12)</f>
        <v>0.77272727272727271</v>
      </c>
      <c r="M9" s="64">
        <f t="shared" ref="M9:U9" si="2">COUNT(M15:M500)/($B$11-$B$12)</f>
        <v>0.77272727272727271</v>
      </c>
      <c r="N9" s="64">
        <f t="shared" si="2"/>
        <v>0.77272727272727271</v>
      </c>
      <c r="O9" s="64">
        <f t="shared" si="2"/>
        <v>0.77272727272727271</v>
      </c>
      <c r="P9" s="64">
        <f t="shared" si="2"/>
        <v>0.77272727272727271</v>
      </c>
      <c r="Q9" s="64">
        <f t="shared" si="2"/>
        <v>0.77272727272727271</v>
      </c>
      <c r="R9" s="64">
        <f t="shared" si="2"/>
        <v>0.77272727272727271</v>
      </c>
      <c r="S9" s="64">
        <f t="shared" si="2"/>
        <v>0.77272727272727271</v>
      </c>
      <c r="T9" s="64">
        <f t="shared" si="2"/>
        <v>0.77272727272727271</v>
      </c>
      <c r="U9" s="64">
        <f t="shared" si="2"/>
        <v>0.77272727272727271</v>
      </c>
    </row>
    <row r="10" spans="1:49" ht="12" x14ac:dyDescent="0.25">
      <c r="E10" s="60"/>
    </row>
    <row r="11" spans="1:49" ht="13.2" x14ac:dyDescent="0.25">
      <c r="A11" s="66" t="s">
        <v>8</v>
      </c>
      <c r="B11" s="67">
        <f>COUNT(B15:B500)</f>
        <v>49</v>
      </c>
      <c r="E11" s="60"/>
      <c r="F11" s="64">
        <f t="shared" ref="F11:H11" si="3">F12/F5</f>
        <v>0.63235294117647056</v>
      </c>
      <c r="G11" s="64">
        <f t="shared" si="3"/>
        <v>0.38235294117647056</v>
      </c>
      <c r="H11" s="64">
        <f t="shared" si="3"/>
        <v>0.79738562091503262</v>
      </c>
      <c r="I11" s="64">
        <f>I12/I5</f>
        <v>0.18872549019607843</v>
      </c>
      <c r="J11" s="64">
        <f>J12/J5</f>
        <v>0.49183006535947715</v>
      </c>
      <c r="K11" s="64">
        <f t="shared" ref="K11:U11" si="4">K12/K5</f>
        <v>0.46218487394957986</v>
      </c>
      <c r="L11" s="64">
        <f t="shared" si="4"/>
        <v>0.74705882352941178</v>
      </c>
      <c r="M11" s="64">
        <f t="shared" si="4"/>
        <v>0.45506535947712418</v>
      </c>
      <c r="N11" s="64">
        <f t="shared" si="4"/>
        <v>0.81274509803921569</v>
      </c>
      <c r="O11" s="64">
        <f t="shared" si="4"/>
        <v>0.52696078431372551</v>
      </c>
      <c r="P11" s="64">
        <f t="shared" si="4"/>
        <v>0.70588235294117652</v>
      </c>
      <c r="Q11" s="64">
        <f t="shared" si="4"/>
        <v>0.37254901960784315</v>
      </c>
      <c r="R11" s="64">
        <f t="shared" si="4"/>
        <v>0.47058823529411764</v>
      </c>
      <c r="S11" s="64">
        <f t="shared" si="4"/>
        <v>0.74509803921568629</v>
      </c>
      <c r="T11" s="64">
        <f t="shared" si="4"/>
        <v>0.41176470588235298</v>
      </c>
      <c r="U11" s="64">
        <f t="shared" si="4"/>
        <v>0.72549019607843135</v>
      </c>
    </row>
    <row r="12" spans="1:49" ht="12" thickBot="1" x14ac:dyDescent="0.25">
      <c r="A12" s="68" t="s">
        <v>48</v>
      </c>
      <c r="B12" s="67">
        <f>B11-COUNT(AM15:AM500)</f>
        <v>-17</v>
      </c>
      <c r="E12" s="1" t="s">
        <v>46</v>
      </c>
      <c r="F12" s="1">
        <f>AVERAGE(F15:F103)</f>
        <v>1.2647058823529411</v>
      </c>
      <c r="G12" s="1">
        <f t="shared" ref="G12:I12" si="5">AVERAGE(G15:G103)</f>
        <v>0.76470588235294112</v>
      </c>
      <c r="H12" s="97">
        <f>AVERAGE(H15:H103)</f>
        <v>4.784313725490196</v>
      </c>
      <c r="I12" s="1">
        <f t="shared" si="5"/>
        <v>1.5098039215686274</v>
      </c>
      <c r="J12" s="1">
        <f t="shared" ref="J12" si="6">AVERAGE(J15:J103)</f>
        <v>2.9509803921568629</v>
      </c>
      <c r="K12" s="1">
        <f>AVERAGE(K15:K103)</f>
        <v>3.2352941176470589</v>
      </c>
      <c r="L12" s="1">
        <f t="shared" ref="L12:U12" si="7">AVERAGE(L15:L103)</f>
        <v>3.7352941176470589</v>
      </c>
      <c r="M12" s="1">
        <f t="shared" si="7"/>
        <v>5.4607843137254903</v>
      </c>
      <c r="N12" s="1">
        <f t="shared" si="7"/>
        <v>8.1274509803921564</v>
      </c>
      <c r="O12" s="1">
        <f t="shared" si="7"/>
        <v>6.3235294117647056</v>
      </c>
      <c r="P12" s="1">
        <f t="shared" si="7"/>
        <v>0.70588235294117652</v>
      </c>
      <c r="Q12" s="1">
        <f t="shared" si="7"/>
        <v>0.37254901960784315</v>
      </c>
      <c r="R12" s="1">
        <f t="shared" si="7"/>
        <v>0.47058823529411764</v>
      </c>
      <c r="S12" s="1">
        <f t="shared" si="7"/>
        <v>0.74509803921568629</v>
      </c>
      <c r="T12" s="1">
        <f t="shared" si="7"/>
        <v>0.61764705882352944</v>
      </c>
      <c r="U12" s="1">
        <f t="shared" si="7"/>
        <v>1.088235294117647</v>
      </c>
      <c r="AU12" s="1" t="s">
        <v>28</v>
      </c>
      <c r="AW12" s="1" t="s">
        <v>30</v>
      </c>
    </row>
    <row r="13" spans="1:49" ht="12" thickBot="1" x14ac:dyDescent="0.25">
      <c r="B13" s="61"/>
      <c r="C13" s="73"/>
      <c r="D13" s="73"/>
      <c r="E13" s="74"/>
      <c r="F13" s="75" t="s">
        <v>43</v>
      </c>
      <c r="G13" s="76"/>
      <c r="H13" s="76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3"/>
      <c r="W13" s="78" t="s">
        <v>44</v>
      </c>
      <c r="X13" s="79"/>
      <c r="Y13" s="79"/>
      <c r="Z13" s="79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74"/>
      <c r="AO13" s="2" t="s">
        <v>31</v>
      </c>
      <c r="AP13" s="3"/>
      <c r="AQ13" s="3"/>
      <c r="AR13" s="3"/>
      <c r="AS13" s="4"/>
      <c r="AU13" s="5" t="s">
        <v>27</v>
      </c>
      <c r="AV13" s="6">
        <v>30</v>
      </c>
      <c r="AW13" s="45">
        <f>100*ROUND(AV13/AV15,2)</f>
        <v>39</v>
      </c>
    </row>
    <row r="14" spans="1:49" ht="12.6" thickBot="1" x14ac:dyDescent="0.3">
      <c r="B14" s="14" t="s">
        <v>42</v>
      </c>
      <c r="C14" s="81" t="s">
        <v>0</v>
      </c>
      <c r="D14" s="32" t="s">
        <v>32</v>
      </c>
      <c r="E14" s="19" t="s">
        <v>1</v>
      </c>
      <c r="F14" s="82" t="s">
        <v>33</v>
      </c>
      <c r="G14" s="83" t="s">
        <v>34</v>
      </c>
      <c r="H14" s="83" t="s">
        <v>35</v>
      </c>
      <c r="I14" s="83" t="s">
        <v>36</v>
      </c>
      <c r="J14" s="84" t="s">
        <v>37</v>
      </c>
      <c r="K14" s="82" t="s">
        <v>51</v>
      </c>
      <c r="L14" s="83" t="s">
        <v>60</v>
      </c>
      <c r="M14" s="82" t="s">
        <v>61</v>
      </c>
      <c r="N14" s="83" t="s">
        <v>62</v>
      </c>
      <c r="O14" s="83" t="s">
        <v>63</v>
      </c>
      <c r="P14" s="83" t="s">
        <v>64</v>
      </c>
      <c r="Q14" s="84" t="s">
        <v>65</v>
      </c>
      <c r="R14" s="82" t="s">
        <v>66</v>
      </c>
      <c r="S14" s="83" t="s">
        <v>67</v>
      </c>
      <c r="T14" s="82" t="s">
        <v>68</v>
      </c>
      <c r="U14" s="83" t="s">
        <v>69</v>
      </c>
      <c r="V14" s="85"/>
      <c r="W14" s="86" t="s">
        <v>33</v>
      </c>
      <c r="X14" s="87" t="s">
        <v>34</v>
      </c>
      <c r="Y14" s="87" t="s">
        <v>35</v>
      </c>
      <c r="Z14" s="87" t="s">
        <v>36</v>
      </c>
      <c r="AA14" s="88" t="s">
        <v>37</v>
      </c>
      <c r="AB14" s="88" t="s">
        <v>51</v>
      </c>
      <c r="AC14" s="86" t="s">
        <v>60</v>
      </c>
      <c r="AD14" s="86" t="s">
        <v>61</v>
      </c>
      <c r="AE14" s="87" t="s">
        <v>62</v>
      </c>
      <c r="AF14" s="87" t="s">
        <v>63</v>
      </c>
      <c r="AG14" s="87" t="s">
        <v>64</v>
      </c>
      <c r="AH14" s="88" t="s">
        <v>65</v>
      </c>
      <c r="AI14" s="88" t="s">
        <v>66</v>
      </c>
      <c r="AJ14" s="86" t="s">
        <v>67</v>
      </c>
      <c r="AK14" s="86" t="s">
        <v>68</v>
      </c>
      <c r="AL14" s="87" t="s">
        <v>69</v>
      </c>
      <c r="AM14" s="89" t="s">
        <v>2</v>
      </c>
      <c r="AO14" s="7" t="s">
        <v>0</v>
      </c>
      <c r="AP14" s="8"/>
      <c r="AQ14" s="8" t="s">
        <v>1</v>
      </c>
      <c r="AR14" s="9" t="s">
        <v>2</v>
      </c>
      <c r="AS14" s="10" t="s">
        <v>3</v>
      </c>
      <c r="AU14" s="11" t="s">
        <v>4</v>
      </c>
      <c r="AV14" s="12">
        <v>67.5</v>
      </c>
      <c r="AW14" s="45">
        <f>100*ROUND(AV14/AV15,2)</f>
        <v>88</v>
      </c>
    </row>
    <row r="15" spans="1:49" ht="15.75" customHeight="1" thickBot="1" x14ac:dyDescent="0.45">
      <c r="A15" s="63"/>
      <c r="B15" s="62">
        <v>1</v>
      </c>
      <c r="C15" s="92" t="s">
        <v>70</v>
      </c>
      <c r="D15" s="92" t="s">
        <v>71</v>
      </c>
      <c r="E15" s="92">
        <v>1888830</v>
      </c>
      <c r="F15" s="93">
        <v>2</v>
      </c>
      <c r="G15" s="93">
        <v>2</v>
      </c>
      <c r="H15" s="93">
        <v>6</v>
      </c>
      <c r="I15" s="93">
        <v>5</v>
      </c>
      <c r="J15" s="94">
        <v>1</v>
      </c>
      <c r="K15" s="94">
        <v>2</v>
      </c>
      <c r="L15" s="94">
        <v>5</v>
      </c>
      <c r="M15" s="94">
        <v>6</v>
      </c>
      <c r="N15" s="94">
        <v>10</v>
      </c>
      <c r="O15" s="94">
        <v>12</v>
      </c>
      <c r="P15" s="94">
        <v>0</v>
      </c>
      <c r="Q15" s="94">
        <v>1</v>
      </c>
      <c r="R15" s="94">
        <v>0</v>
      </c>
      <c r="S15" s="94">
        <v>1</v>
      </c>
      <c r="T15" s="94">
        <v>0</v>
      </c>
      <c r="U15" s="94">
        <v>1.5</v>
      </c>
      <c r="V15" s="94"/>
      <c r="W15" s="90">
        <f>F15*F$4</f>
        <v>2</v>
      </c>
      <c r="X15" s="90">
        <f>G15*G$4</f>
        <v>2</v>
      </c>
      <c r="Y15" s="90">
        <f t="shared" ref="Y15" si="8">H15*H$4</f>
        <v>6</v>
      </c>
      <c r="Z15" s="90">
        <f>I15*I$4</f>
        <v>5</v>
      </c>
      <c r="AA15" s="90">
        <f>J15*J$4</f>
        <v>1</v>
      </c>
      <c r="AB15" s="90">
        <f>K15*K$4</f>
        <v>2</v>
      </c>
      <c r="AC15" s="90">
        <f>L15*L$4</f>
        <v>5</v>
      </c>
      <c r="AD15" s="90">
        <f t="shared" ref="AD15:AE15" si="9">M15*M$4</f>
        <v>6</v>
      </c>
      <c r="AE15" s="90">
        <f t="shared" si="9"/>
        <v>10</v>
      </c>
      <c r="AF15" s="90">
        <f t="shared" ref="AF15:AL15" si="10">O15*O$4</f>
        <v>12</v>
      </c>
      <c r="AG15" s="90">
        <f t="shared" si="10"/>
        <v>0</v>
      </c>
      <c r="AH15" s="90">
        <f t="shared" si="10"/>
        <v>1</v>
      </c>
      <c r="AI15" s="90">
        <f t="shared" si="10"/>
        <v>0</v>
      </c>
      <c r="AJ15" s="90">
        <f t="shared" si="10"/>
        <v>1</v>
      </c>
      <c r="AK15" s="90">
        <f t="shared" si="10"/>
        <v>0</v>
      </c>
      <c r="AL15" s="90">
        <f t="shared" si="10"/>
        <v>1.5</v>
      </c>
      <c r="AM15" s="91">
        <f>SUM(W15:AL15)</f>
        <v>54.5</v>
      </c>
      <c r="AO15" s="92" t="s">
        <v>70</v>
      </c>
      <c r="AP15" s="92" t="s">
        <v>71</v>
      </c>
      <c r="AQ15" s="92">
        <v>1888830</v>
      </c>
      <c r="AR15" s="41">
        <f>AM15</f>
        <v>54.5</v>
      </c>
      <c r="AS15" s="36">
        <f>INDEX(noten,MATCH(AR15,Grenzen),1)</f>
        <v>2.2999999999999998</v>
      </c>
      <c r="AT15" s="13"/>
      <c r="AU15" s="14" t="s">
        <v>5</v>
      </c>
      <c r="AV15" s="15">
        <v>77</v>
      </c>
      <c r="AW15" s="44"/>
    </row>
    <row r="16" spans="1:49" ht="15.6" thickBot="1" x14ac:dyDescent="0.3">
      <c r="B16" s="62">
        <v>2</v>
      </c>
      <c r="C16" s="92" t="s">
        <v>72</v>
      </c>
      <c r="D16" s="92" t="s">
        <v>73</v>
      </c>
      <c r="E16" s="92">
        <v>1907234</v>
      </c>
      <c r="F16" s="93">
        <v>0.5</v>
      </c>
      <c r="G16" s="93">
        <v>0.5</v>
      </c>
      <c r="H16" s="93">
        <v>1.5</v>
      </c>
      <c r="I16" s="93">
        <v>0</v>
      </c>
      <c r="J16" s="94">
        <v>1</v>
      </c>
      <c r="K16" s="94">
        <v>0</v>
      </c>
      <c r="L16" s="94">
        <v>2.5</v>
      </c>
      <c r="M16" s="94">
        <v>6</v>
      </c>
      <c r="N16" s="94">
        <v>10</v>
      </c>
      <c r="O16" s="94">
        <v>0</v>
      </c>
      <c r="P16" s="94">
        <v>0</v>
      </c>
      <c r="Q16" s="94">
        <v>0</v>
      </c>
      <c r="R16" s="94">
        <v>0</v>
      </c>
      <c r="S16" s="94">
        <v>0</v>
      </c>
      <c r="T16" s="94">
        <v>0</v>
      </c>
      <c r="U16" s="94">
        <v>1.5</v>
      </c>
      <c r="V16" s="94"/>
      <c r="W16" s="90">
        <f t="shared" ref="W16:W79" si="11">F16*F$4</f>
        <v>0.5</v>
      </c>
      <c r="X16" s="90">
        <f t="shared" ref="X16:X79" si="12">G16*G$4</f>
        <v>0.5</v>
      </c>
      <c r="Y16" s="90">
        <f t="shared" ref="Y16:Y79" si="13">H16*H$4</f>
        <v>1.5</v>
      </c>
      <c r="Z16" s="90">
        <f t="shared" ref="Z16:Z79" si="14">I16*I$4</f>
        <v>0</v>
      </c>
      <c r="AA16" s="90">
        <f t="shared" ref="AA16:AA79" si="15">J16*J$4</f>
        <v>1</v>
      </c>
      <c r="AB16" s="90">
        <f t="shared" ref="AB16:AB79" si="16">K16*K$4</f>
        <v>0</v>
      </c>
      <c r="AC16" s="90">
        <f t="shared" ref="AC16:AC79" si="17">L16*L$4</f>
        <v>2.5</v>
      </c>
      <c r="AD16" s="90">
        <f t="shared" ref="AD16:AD79" si="18">M16*M$4</f>
        <v>6</v>
      </c>
      <c r="AE16" s="90">
        <f t="shared" ref="AE16:AE79" si="19">N16*N$4</f>
        <v>10</v>
      </c>
      <c r="AF16" s="90">
        <f t="shared" ref="AF16:AF79" si="20">O16*O$4</f>
        <v>0</v>
      </c>
      <c r="AG16" s="90">
        <f t="shared" ref="AG16:AG79" si="21">P16*P$4</f>
        <v>0</v>
      </c>
      <c r="AH16" s="90">
        <f t="shared" ref="AH16:AH79" si="22">Q16*Q$4</f>
        <v>0</v>
      </c>
      <c r="AI16" s="90">
        <f t="shared" ref="AI16:AI79" si="23">R16*R$4</f>
        <v>0</v>
      </c>
      <c r="AJ16" s="90">
        <f t="shared" ref="AJ16:AJ79" si="24">S16*S$4</f>
        <v>0</v>
      </c>
      <c r="AK16" s="90">
        <f t="shared" ref="AK16:AK79" si="25">T16*T$4</f>
        <v>0</v>
      </c>
      <c r="AL16" s="90">
        <f t="shared" ref="AL16:AL79" si="26">U16*U$4</f>
        <v>1.5</v>
      </c>
      <c r="AM16" s="91">
        <f t="shared" ref="AM16:AM79" si="27">SUM(W16:AL16)</f>
        <v>23.5</v>
      </c>
      <c r="AO16" s="92" t="s">
        <v>72</v>
      </c>
      <c r="AP16" s="92" t="s">
        <v>73</v>
      </c>
      <c r="AQ16" s="92">
        <v>1907234</v>
      </c>
      <c r="AR16" s="41">
        <f t="shared" ref="AR16:AR27" si="28">AM16</f>
        <v>23.5</v>
      </c>
      <c r="AS16" s="36">
        <f t="shared" ref="AS16:AS27" si="29">INDEX(noten,MATCH(AR16,Grenzen),1)</f>
        <v>5</v>
      </c>
      <c r="AT16" s="13" t="s">
        <v>49</v>
      </c>
      <c r="AU16" s="14" t="s">
        <v>50</v>
      </c>
      <c r="AV16" s="69">
        <f>AVERAGE(AR15:AR62)</f>
        <v>40.1875</v>
      </c>
    </row>
    <row r="17" spans="2:52" ht="15" x14ac:dyDescent="0.25">
      <c r="B17" s="62">
        <v>3</v>
      </c>
      <c r="C17" s="92" t="s">
        <v>74</v>
      </c>
      <c r="D17" s="92" t="s">
        <v>75</v>
      </c>
      <c r="E17" s="92">
        <v>1884973</v>
      </c>
      <c r="F17" s="93">
        <v>2</v>
      </c>
      <c r="G17" s="93">
        <v>0</v>
      </c>
      <c r="H17" s="93">
        <v>6</v>
      </c>
      <c r="I17" s="93">
        <v>1</v>
      </c>
      <c r="J17" s="95">
        <v>1</v>
      </c>
      <c r="K17" s="95">
        <v>7</v>
      </c>
      <c r="L17" s="95">
        <v>5</v>
      </c>
      <c r="M17" s="95">
        <v>7</v>
      </c>
      <c r="N17" s="95">
        <v>10</v>
      </c>
      <c r="O17" s="95">
        <v>5</v>
      </c>
      <c r="P17" s="95">
        <v>0</v>
      </c>
      <c r="Q17" s="95">
        <v>0</v>
      </c>
      <c r="R17" s="95">
        <v>0</v>
      </c>
      <c r="S17" s="95">
        <v>0</v>
      </c>
      <c r="T17" s="95">
        <v>1.5</v>
      </c>
      <c r="U17" s="95">
        <v>0</v>
      </c>
      <c r="V17" s="94"/>
      <c r="W17" s="90">
        <f t="shared" si="11"/>
        <v>2</v>
      </c>
      <c r="X17" s="90">
        <f t="shared" si="12"/>
        <v>0</v>
      </c>
      <c r="Y17" s="90">
        <f t="shared" si="13"/>
        <v>6</v>
      </c>
      <c r="Z17" s="90">
        <f t="shared" si="14"/>
        <v>1</v>
      </c>
      <c r="AA17" s="90">
        <f t="shared" si="15"/>
        <v>1</v>
      </c>
      <c r="AB17" s="90">
        <f t="shared" si="16"/>
        <v>7</v>
      </c>
      <c r="AC17" s="90">
        <f t="shared" si="17"/>
        <v>5</v>
      </c>
      <c r="AD17" s="90">
        <f t="shared" si="18"/>
        <v>7</v>
      </c>
      <c r="AE17" s="90">
        <f t="shared" si="19"/>
        <v>10</v>
      </c>
      <c r="AF17" s="90">
        <f t="shared" si="20"/>
        <v>5</v>
      </c>
      <c r="AG17" s="90">
        <f t="shared" si="21"/>
        <v>0</v>
      </c>
      <c r="AH17" s="90">
        <f t="shared" si="22"/>
        <v>0</v>
      </c>
      <c r="AI17" s="90">
        <f t="shared" si="23"/>
        <v>0</v>
      </c>
      <c r="AJ17" s="90">
        <f t="shared" si="24"/>
        <v>0</v>
      </c>
      <c r="AK17" s="90">
        <f t="shared" si="25"/>
        <v>1.5</v>
      </c>
      <c r="AL17" s="90">
        <f t="shared" si="26"/>
        <v>0</v>
      </c>
      <c r="AM17" s="91">
        <f t="shared" si="27"/>
        <v>45.5</v>
      </c>
      <c r="AO17" s="92" t="s">
        <v>74</v>
      </c>
      <c r="AP17" s="92" t="s">
        <v>75</v>
      </c>
      <c r="AQ17" s="92">
        <v>1884973</v>
      </c>
      <c r="AR17" s="41">
        <f t="shared" si="28"/>
        <v>45.5</v>
      </c>
      <c r="AS17" s="36">
        <f t="shared" si="29"/>
        <v>3</v>
      </c>
      <c r="AT17" s="13"/>
    </row>
    <row r="18" spans="2:52" ht="15" x14ac:dyDescent="0.25">
      <c r="B18" s="62">
        <v>4</v>
      </c>
      <c r="C18" s="92" t="s">
        <v>76</v>
      </c>
      <c r="D18" s="92" t="s">
        <v>77</v>
      </c>
      <c r="E18" s="92">
        <v>1894398</v>
      </c>
      <c r="F18" s="93">
        <v>2</v>
      </c>
      <c r="G18" s="93">
        <v>1</v>
      </c>
      <c r="H18" s="93">
        <v>6</v>
      </c>
      <c r="I18" s="93">
        <v>0</v>
      </c>
      <c r="J18" s="95">
        <v>6</v>
      </c>
      <c r="K18" s="95">
        <v>7</v>
      </c>
      <c r="L18" s="95">
        <v>5</v>
      </c>
      <c r="M18" s="95">
        <v>10</v>
      </c>
      <c r="N18" s="95">
        <v>10</v>
      </c>
      <c r="O18" s="95">
        <v>12</v>
      </c>
      <c r="P18" s="95">
        <v>1</v>
      </c>
      <c r="Q18" s="95">
        <v>0</v>
      </c>
      <c r="R18" s="95">
        <v>1</v>
      </c>
      <c r="S18" s="95">
        <v>1</v>
      </c>
      <c r="T18" s="95">
        <v>0</v>
      </c>
      <c r="U18" s="95">
        <v>1.5</v>
      </c>
      <c r="V18" s="94"/>
      <c r="W18" s="90">
        <f t="shared" si="11"/>
        <v>2</v>
      </c>
      <c r="X18" s="90">
        <f t="shared" si="12"/>
        <v>1</v>
      </c>
      <c r="Y18" s="90">
        <f t="shared" si="13"/>
        <v>6</v>
      </c>
      <c r="Z18" s="90">
        <f t="shared" si="14"/>
        <v>0</v>
      </c>
      <c r="AA18" s="90">
        <f t="shared" si="15"/>
        <v>6</v>
      </c>
      <c r="AB18" s="90">
        <f t="shared" si="16"/>
        <v>7</v>
      </c>
      <c r="AC18" s="90">
        <f t="shared" si="17"/>
        <v>5</v>
      </c>
      <c r="AD18" s="90">
        <f t="shared" si="18"/>
        <v>10</v>
      </c>
      <c r="AE18" s="90">
        <f t="shared" si="19"/>
        <v>10</v>
      </c>
      <c r="AF18" s="90">
        <f t="shared" si="20"/>
        <v>12</v>
      </c>
      <c r="AG18" s="90">
        <f t="shared" si="21"/>
        <v>1</v>
      </c>
      <c r="AH18" s="90">
        <f t="shared" si="22"/>
        <v>0</v>
      </c>
      <c r="AI18" s="90">
        <f t="shared" si="23"/>
        <v>1</v>
      </c>
      <c r="AJ18" s="90">
        <f t="shared" si="24"/>
        <v>1</v>
      </c>
      <c r="AK18" s="90">
        <f t="shared" si="25"/>
        <v>0</v>
      </c>
      <c r="AL18" s="90">
        <f t="shared" si="26"/>
        <v>1.5</v>
      </c>
      <c r="AM18" s="91">
        <f t="shared" si="27"/>
        <v>63.5</v>
      </c>
      <c r="AO18" s="92" t="s">
        <v>76</v>
      </c>
      <c r="AP18" s="92" t="s">
        <v>77</v>
      </c>
      <c r="AQ18" s="92">
        <v>1894398</v>
      </c>
      <c r="AR18" s="41">
        <f t="shared" si="28"/>
        <v>63.5</v>
      </c>
      <c r="AS18" s="36">
        <f t="shared" si="29"/>
        <v>1.3</v>
      </c>
      <c r="AT18" s="13"/>
    </row>
    <row r="19" spans="2:52" ht="15.6" thickBot="1" x14ac:dyDescent="0.3">
      <c r="B19" s="62">
        <v>5</v>
      </c>
      <c r="C19" s="92" t="s">
        <v>78</v>
      </c>
      <c r="D19" s="92" t="s">
        <v>79</v>
      </c>
      <c r="E19" s="92">
        <v>1500028</v>
      </c>
      <c r="F19" s="93"/>
      <c r="G19" s="93"/>
      <c r="H19" s="93"/>
      <c r="I19" s="93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0">
        <f t="shared" si="11"/>
        <v>0</v>
      </c>
      <c r="X19" s="90">
        <f t="shared" si="12"/>
        <v>0</v>
      </c>
      <c r="Y19" s="90">
        <f t="shared" si="13"/>
        <v>0</v>
      </c>
      <c r="Z19" s="90">
        <f t="shared" si="14"/>
        <v>0</v>
      </c>
      <c r="AA19" s="90">
        <f t="shared" si="15"/>
        <v>0</v>
      </c>
      <c r="AB19" s="90">
        <f t="shared" si="16"/>
        <v>0</v>
      </c>
      <c r="AC19" s="90">
        <f t="shared" si="17"/>
        <v>0</v>
      </c>
      <c r="AD19" s="90">
        <f t="shared" si="18"/>
        <v>0</v>
      </c>
      <c r="AE19" s="90">
        <f t="shared" si="19"/>
        <v>0</v>
      </c>
      <c r="AF19" s="90">
        <f t="shared" si="20"/>
        <v>0</v>
      </c>
      <c r="AG19" s="90">
        <f t="shared" si="21"/>
        <v>0</v>
      </c>
      <c r="AH19" s="90">
        <f t="shared" si="22"/>
        <v>0</v>
      </c>
      <c r="AI19" s="90">
        <f t="shared" si="23"/>
        <v>0</v>
      </c>
      <c r="AJ19" s="90">
        <f t="shared" si="24"/>
        <v>0</v>
      </c>
      <c r="AK19" s="90">
        <f t="shared" si="25"/>
        <v>0</v>
      </c>
      <c r="AL19" s="90">
        <f t="shared" si="26"/>
        <v>0</v>
      </c>
      <c r="AM19" s="91">
        <f t="shared" si="27"/>
        <v>0</v>
      </c>
      <c r="AO19" s="92" t="s">
        <v>78</v>
      </c>
      <c r="AP19" s="92" t="s">
        <v>79</v>
      </c>
      <c r="AQ19" s="92">
        <v>1500028</v>
      </c>
      <c r="AR19" s="41">
        <f t="shared" si="28"/>
        <v>0</v>
      </c>
      <c r="AS19" s="36">
        <f t="shared" si="29"/>
        <v>5</v>
      </c>
      <c r="AT19" s="13"/>
    </row>
    <row r="20" spans="2:52" ht="15.6" thickBot="1" x14ac:dyDescent="0.3">
      <c r="B20" s="62">
        <v>6</v>
      </c>
      <c r="C20" s="92" t="s">
        <v>80</v>
      </c>
      <c r="D20" s="92" t="s">
        <v>81</v>
      </c>
      <c r="E20" s="92">
        <v>1877616</v>
      </c>
      <c r="F20" s="93">
        <v>2</v>
      </c>
      <c r="G20" s="93">
        <v>0</v>
      </c>
      <c r="H20" s="93">
        <v>6</v>
      </c>
      <c r="I20" s="93">
        <v>0</v>
      </c>
      <c r="J20" s="94">
        <v>6</v>
      </c>
      <c r="K20" s="94">
        <v>7</v>
      </c>
      <c r="L20" s="94">
        <v>5</v>
      </c>
      <c r="M20" s="94">
        <v>6</v>
      </c>
      <c r="N20" s="94">
        <v>10</v>
      </c>
      <c r="O20" s="94">
        <v>4</v>
      </c>
      <c r="P20" s="94">
        <v>1</v>
      </c>
      <c r="Q20" s="94">
        <v>1</v>
      </c>
      <c r="R20" s="94">
        <v>1</v>
      </c>
      <c r="S20" s="94">
        <v>1</v>
      </c>
      <c r="T20" s="94">
        <v>1.5</v>
      </c>
      <c r="U20" s="94">
        <v>0</v>
      </c>
      <c r="V20" s="94"/>
      <c r="W20" s="90">
        <f t="shared" si="11"/>
        <v>2</v>
      </c>
      <c r="X20" s="90">
        <f t="shared" si="12"/>
        <v>0</v>
      </c>
      <c r="Y20" s="90">
        <f t="shared" si="13"/>
        <v>6</v>
      </c>
      <c r="Z20" s="90">
        <f t="shared" si="14"/>
        <v>0</v>
      </c>
      <c r="AA20" s="90">
        <f t="shared" si="15"/>
        <v>6</v>
      </c>
      <c r="AB20" s="90">
        <f t="shared" si="16"/>
        <v>7</v>
      </c>
      <c r="AC20" s="90">
        <f t="shared" si="17"/>
        <v>5</v>
      </c>
      <c r="AD20" s="90">
        <f t="shared" si="18"/>
        <v>6</v>
      </c>
      <c r="AE20" s="90">
        <f t="shared" si="19"/>
        <v>10</v>
      </c>
      <c r="AF20" s="90">
        <f t="shared" si="20"/>
        <v>4</v>
      </c>
      <c r="AG20" s="90">
        <f t="shared" si="21"/>
        <v>1</v>
      </c>
      <c r="AH20" s="90">
        <f t="shared" si="22"/>
        <v>1</v>
      </c>
      <c r="AI20" s="90">
        <f t="shared" si="23"/>
        <v>1</v>
      </c>
      <c r="AJ20" s="90">
        <f t="shared" si="24"/>
        <v>1</v>
      </c>
      <c r="AK20" s="90">
        <f t="shared" si="25"/>
        <v>1.5</v>
      </c>
      <c r="AL20" s="90">
        <f t="shared" si="26"/>
        <v>0</v>
      </c>
      <c r="AM20" s="91">
        <f t="shared" si="27"/>
        <v>51.5</v>
      </c>
      <c r="AO20" s="92" t="s">
        <v>80</v>
      </c>
      <c r="AP20" s="92" t="s">
        <v>81</v>
      </c>
      <c r="AQ20" s="92">
        <v>1877616</v>
      </c>
      <c r="AR20" s="41">
        <f t="shared" si="28"/>
        <v>51.5</v>
      </c>
      <c r="AS20" s="36">
        <f t="shared" si="29"/>
        <v>2.2999999999999998</v>
      </c>
      <c r="AT20" s="13"/>
      <c r="AU20" s="18" t="s">
        <v>3</v>
      </c>
      <c r="AV20" s="16" t="s">
        <v>6</v>
      </c>
      <c r="AW20" s="17" t="s">
        <v>7</v>
      </c>
      <c r="AX20" s="19" t="s">
        <v>8</v>
      </c>
      <c r="AZ20" s="20" t="s">
        <v>9</v>
      </c>
    </row>
    <row r="21" spans="2:52" ht="15" x14ac:dyDescent="0.25">
      <c r="B21" s="62">
        <v>7</v>
      </c>
      <c r="C21" s="92" t="s">
        <v>82</v>
      </c>
      <c r="D21" s="92" t="s">
        <v>83</v>
      </c>
      <c r="E21" s="92">
        <v>1899351</v>
      </c>
      <c r="F21" s="93">
        <v>0.5</v>
      </c>
      <c r="G21" s="93">
        <v>0</v>
      </c>
      <c r="H21" s="93">
        <v>4</v>
      </c>
      <c r="I21" s="93">
        <v>1</v>
      </c>
      <c r="J21" s="94">
        <v>6</v>
      </c>
      <c r="K21" s="94">
        <v>0</v>
      </c>
      <c r="L21" s="94">
        <v>5</v>
      </c>
      <c r="M21" s="94">
        <v>8</v>
      </c>
      <c r="N21" s="94">
        <v>6</v>
      </c>
      <c r="O21" s="94">
        <v>2</v>
      </c>
      <c r="P21" s="94">
        <v>0</v>
      </c>
      <c r="Q21" s="94">
        <v>0</v>
      </c>
      <c r="R21" s="94">
        <v>0</v>
      </c>
      <c r="S21" s="94">
        <v>1</v>
      </c>
      <c r="T21" s="94">
        <v>0</v>
      </c>
      <c r="U21" s="94">
        <v>1.5</v>
      </c>
      <c r="V21" s="94"/>
      <c r="W21" s="90">
        <f t="shared" si="11"/>
        <v>0.5</v>
      </c>
      <c r="X21" s="90">
        <f t="shared" si="12"/>
        <v>0</v>
      </c>
      <c r="Y21" s="90">
        <f t="shared" si="13"/>
        <v>4</v>
      </c>
      <c r="Z21" s="90">
        <f t="shared" si="14"/>
        <v>1</v>
      </c>
      <c r="AA21" s="90">
        <f t="shared" si="15"/>
        <v>6</v>
      </c>
      <c r="AB21" s="90">
        <f t="shared" si="16"/>
        <v>0</v>
      </c>
      <c r="AC21" s="90">
        <f t="shared" si="17"/>
        <v>5</v>
      </c>
      <c r="AD21" s="90">
        <f t="shared" si="18"/>
        <v>8</v>
      </c>
      <c r="AE21" s="90">
        <f t="shared" si="19"/>
        <v>6</v>
      </c>
      <c r="AF21" s="90">
        <f t="shared" si="20"/>
        <v>2</v>
      </c>
      <c r="AG21" s="90">
        <f t="shared" si="21"/>
        <v>0</v>
      </c>
      <c r="AH21" s="90">
        <f t="shared" si="22"/>
        <v>0</v>
      </c>
      <c r="AI21" s="90">
        <f t="shared" si="23"/>
        <v>0</v>
      </c>
      <c r="AJ21" s="90">
        <f t="shared" si="24"/>
        <v>1</v>
      </c>
      <c r="AK21" s="90">
        <f t="shared" si="25"/>
        <v>0</v>
      </c>
      <c r="AL21" s="90">
        <f t="shared" si="26"/>
        <v>1.5</v>
      </c>
      <c r="AM21" s="91">
        <f t="shared" si="27"/>
        <v>35</v>
      </c>
      <c r="AO21" s="92" t="s">
        <v>82</v>
      </c>
      <c r="AP21" s="92" t="s">
        <v>83</v>
      </c>
      <c r="AQ21" s="92">
        <v>1899351</v>
      </c>
      <c r="AR21" s="41">
        <f t="shared" si="28"/>
        <v>35</v>
      </c>
      <c r="AS21" s="36">
        <f t="shared" si="29"/>
        <v>3.7</v>
      </c>
      <c r="AT21" s="13"/>
      <c r="AU21" s="21">
        <v>1</v>
      </c>
      <c r="AV21" s="22">
        <f>AV14</f>
        <v>67.5</v>
      </c>
      <c r="AW21" s="23">
        <f>AV15</f>
        <v>77</v>
      </c>
      <c r="AX21" s="24">
        <f>COUNTIF($AS$15:$AS$94,AU21)</f>
        <v>1</v>
      </c>
      <c r="AZ21" s="20">
        <f>AW21-AV21</f>
        <v>9.5</v>
      </c>
    </row>
    <row r="22" spans="2:52" ht="15" x14ac:dyDescent="0.25">
      <c r="B22" s="62">
        <v>8</v>
      </c>
      <c r="C22" s="92" t="s">
        <v>84</v>
      </c>
      <c r="D22" s="92" t="s">
        <v>85</v>
      </c>
      <c r="E22" s="92">
        <v>1889332</v>
      </c>
      <c r="F22" s="93">
        <v>2</v>
      </c>
      <c r="G22" s="93">
        <v>1</v>
      </c>
      <c r="H22" s="93">
        <v>6</v>
      </c>
      <c r="I22" s="93">
        <v>1</v>
      </c>
      <c r="J22" s="94">
        <v>1</v>
      </c>
      <c r="K22" s="94">
        <v>2</v>
      </c>
      <c r="L22" s="94">
        <v>5</v>
      </c>
      <c r="M22" s="94">
        <v>7</v>
      </c>
      <c r="N22" s="94">
        <v>10</v>
      </c>
      <c r="O22" s="94">
        <v>12</v>
      </c>
      <c r="P22" s="94">
        <v>1</v>
      </c>
      <c r="Q22" s="94">
        <v>0</v>
      </c>
      <c r="R22" s="94">
        <v>0</v>
      </c>
      <c r="S22" s="94">
        <v>1</v>
      </c>
      <c r="T22" s="94">
        <v>1.5</v>
      </c>
      <c r="U22" s="94">
        <v>1.5</v>
      </c>
      <c r="V22" s="94"/>
      <c r="W22" s="90">
        <f t="shared" si="11"/>
        <v>2</v>
      </c>
      <c r="X22" s="90">
        <f t="shared" si="12"/>
        <v>1</v>
      </c>
      <c r="Y22" s="90">
        <f t="shared" si="13"/>
        <v>6</v>
      </c>
      <c r="Z22" s="90">
        <f t="shared" si="14"/>
        <v>1</v>
      </c>
      <c r="AA22" s="90">
        <f t="shared" si="15"/>
        <v>1</v>
      </c>
      <c r="AB22" s="90">
        <f t="shared" si="16"/>
        <v>2</v>
      </c>
      <c r="AC22" s="90">
        <f t="shared" si="17"/>
        <v>5</v>
      </c>
      <c r="AD22" s="90">
        <f t="shared" si="18"/>
        <v>7</v>
      </c>
      <c r="AE22" s="90">
        <f t="shared" si="19"/>
        <v>10</v>
      </c>
      <c r="AF22" s="90">
        <f t="shared" si="20"/>
        <v>12</v>
      </c>
      <c r="AG22" s="90">
        <f t="shared" si="21"/>
        <v>1</v>
      </c>
      <c r="AH22" s="90">
        <f t="shared" si="22"/>
        <v>0</v>
      </c>
      <c r="AI22" s="90">
        <f t="shared" si="23"/>
        <v>0</v>
      </c>
      <c r="AJ22" s="90">
        <f t="shared" si="24"/>
        <v>1</v>
      </c>
      <c r="AK22" s="90">
        <f t="shared" si="25"/>
        <v>1.5</v>
      </c>
      <c r="AL22" s="90">
        <f t="shared" si="26"/>
        <v>1.5</v>
      </c>
      <c r="AM22" s="91">
        <f t="shared" si="27"/>
        <v>52</v>
      </c>
      <c r="AO22" s="92" t="s">
        <v>84</v>
      </c>
      <c r="AP22" s="92" t="s">
        <v>85</v>
      </c>
      <c r="AQ22" s="92">
        <v>1889332</v>
      </c>
      <c r="AR22" s="41">
        <f t="shared" si="28"/>
        <v>52</v>
      </c>
      <c r="AS22" s="36">
        <f t="shared" si="29"/>
        <v>2.2999999999999998</v>
      </c>
      <c r="AT22" s="13"/>
      <c r="AU22" s="25">
        <v>1.3</v>
      </c>
      <c r="AV22" s="26">
        <f>AW71</f>
        <v>63.5</v>
      </c>
      <c r="AW22" s="27">
        <f t="shared" ref="AW22:AW30" si="30">AV21-0.5</f>
        <v>67</v>
      </c>
      <c r="AX22" s="24">
        <f t="shared" ref="AX22:AX30" si="31">COUNTIF($AS$15:$AS$94,AU22)</f>
        <v>1</v>
      </c>
      <c r="AZ22" s="20">
        <f t="shared" ref="AZ22:AZ30" si="32">AW22-AV22</f>
        <v>3.5</v>
      </c>
    </row>
    <row r="23" spans="2:52" ht="15" x14ac:dyDescent="0.25">
      <c r="B23" s="62">
        <v>9</v>
      </c>
      <c r="C23" s="92" t="s">
        <v>86</v>
      </c>
      <c r="D23" s="92" t="s">
        <v>87</v>
      </c>
      <c r="E23" s="92">
        <v>1892662</v>
      </c>
      <c r="F23" s="93">
        <v>0.5</v>
      </c>
      <c r="G23" s="93">
        <v>0</v>
      </c>
      <c r="H23" s="93">
        <v>4</v>
      </c>
      <c r="I23" s="93">
        <v>2.5</v>
      </c>
      <c r="J23" s="95">
        <v>3.5</v>
      </c>
      <c r="K23" s="95">
        <v>7</v>
      </c>
      <c r="L23" s="95">
        <v>5</v>
      </c>
      <c r="M23" s="95">
        <v>2</v>
      </c>
      <c r="N23" s="95">
        <v>10</v>
      </c>
      <c r="O23" s="95">
        <v>12</v>
      </c>
      <c r="P23" s="95">
        <v>0</v>
      </c>
      <c r="Q23" s="95">
        <v>0</v>
      </c>
      <c r="R23" s="95">
        <v>0</v>
      </c>
      <c r="S23" s="95">
        <v>1</v>
      </c>
      <c r="T23" s="95">
        <v>0</v>
      </c>
      <c r="U23" s="95">
        <v>1.5</v>
      </c>
      <c r="V23" s="94"/>
      <c r="W23" s="90">
        <f t="shared" si="11"/>
        <v>0.5</v>
      </c>
      <c r="X23" s="90">
        <f t="shared" si="12"/>
        <v>0</v>
      </c>
      <c r="Y23" s="90">
        <f t="shared" si="13"/>
        <v>4</v>
      </c>
      <c r="Z23" s="90">
        <f t="shared" si="14"/>
        <v>2.5</v>
      </c>
      <c r="AA23" s="90">
        <f t="shared" si="15"/>
        <v>3.5</v>
      </c>
      <c r="AB23" s="90">
        <f t="shared" si="16"/>
        <v>7</v>
      </c>
      <c r="AC23" s="90">
        <f t="shared" si="17"/>
        <v>5</v>
      </c>
      <c r="AD23" s="90">
        <f t="shared" si="18"/>
        <v>2</v>
      </c>
      <c r="AE23" s="90">
        <f t="shared" si="19"/>
        <v>10</v>
      </c>
      <c r="AF23" s="90">
        <f t="shared" si="20"/>
        <v>12</v>
      </c>
      <c r="AG23" s="90">
        <f t="shared" si="21"/>
        <v>0</v>
      </c>
      <c r="AH23" s="90">
        <f t="shared" si="22"/>
        <v>0</v>
      </c>
      <c r="AI23" s="90">
        <f t="shared" si="23"/>
        <v>0</v>
      </c>
      <c r="AJ23" s="90">
        <f t="shared" si="24"/>
        <v>1</v>
      </c>
      <c r="AK23" s="90">
        <f t="shared" si="25"/>
        <v>0</v>
      </c>
      <c r="AL23" s="90">
        <f t="shared" si="26"/>
        <v>1.5</v>
      </c>
      <c r="AM23" s="91">
        <f t="shared" si="27"/>
        <v>49</v>
      </c>
      <c r="AO23" s="92" t="s">
        <v>86</v>
      </c>
      <c r="AP23" s="92" t="s">
        <v>87</v>
      </c>
      <c r="AQ23" s="92">
        <v>1892662</v>
      </c>
      <c r="AR23" s="41">
        <f>AM23</f>
        <v>49</v>
      </c>
      <c r="AS23" s="36">
        <f t="shared" si="29"/>
        <v>2.7</v>
      </c>
      <c r="AT23" s="13"/>
      <c r="AU23" s="25">
        <v>1.7</v>
      </c>
      <c r="AV23" s="26">
        <f>AW70</f>
        <v>59</v>
      </c>
      <c r="AW23" s="27">
        <f t="shared" si="30"/>
        <v>63</v>
      </c>
      <c r="AX23" s="24">
        <f t="shared" si="31"/>
        <v>3</v>
      </c>
      <c r="AZ23" s="20">
        <f t="shared" si="32"/>
        <v>4</v>
      </c>
    </row>
    <row r="24" spans="2:52" ht="15" x14ac:dyDescent="0.25">
      <c r="B24" s="62">
        <v>10</v>
      </c>
      <c r="C24" s="92" t="s">
        <v>88</v>
      </c>
      <c r="D24" s="92" t="s">
        <v>89</v>
      </c>
      <c r="E24" s="92">
        <v>1798144</v>
      </c>
      <c r="F24" s="98"/>
      <c r="G24" s="98"/>
      <c r="H24" s="98"/>
      <c r="I24" s="98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4"/>
      <c r="W24" s="90">
        <f t="shared" si="11"/>
        <v>0</v>
      </c>
      <c r="X24" s="90">
        <f t="shared" si="12"/>
        <v>0</v>
      </c>
      <c r="Y24" s="90">
        <f t="shared" si="13"/>
        <v>0</v>
      </c>
      <c r="Z24" s="90">
        <f t="shared" si="14"/>
        <v>0</v>
      </c>
      <c r="AA24" s="90">
        <f t="shared" si="15"/>
        <v>0</v>
      </c>
      <c r="AB24" s="90">
        <f t="shared" si="16"/>
        <v>0</v>
      </c>
      <c r="AC24" s="90">
        <f t="shared" si="17"/>
        <v>0</v>
      </c>
      <c r="AD24" s="90">
        <f t="shared" si="18"/>
        <v>0</v>
      </c>
      <c r="AE24" s="90">
        <f t="shared" si="19"/>
        <v>0</v>
      </c>
      <c r="AF24" s="90">
        <f t="shared" si="20"/>
        <v>0</v>
      </c>
      <c r="AG24" s="90">
        <f t="shared" si="21"/>
        <v>0</v>
      </c>
      <c r="AH24" s="90">
        <f t="shared" si="22"/>
        <v>0</v>
      </c>
      <c r="AI24" s="90">
        <f t="shared" si="23"/>
        <v>0</v>
      </c>
      <c r="AJ24" s="90">
        <f t="shared" si="24"/>
        <v>0</v>
      </c>
      <c r="AK24" s="90">
        <f t="shared" si="25"/>
        <v>0</v>
      </c>
      <c r="AL24" s="90">
        <f t="shared" si="26"/>
        <v>0</v>
      </c>
      <c r="AM24" s="91">
        <f t="shared" si="27"/>
        <v>0</v>
      </c>
      <c r="AO24" s="92" t="s">
        <v>88</v>
      </c>
      <c r="AP24" s="92" t="s">
        <v>89</v>
      </c>
      <c r="AQ24" s="92">
        <v>1798144</v>
      </c>
      <c r="AR24" s="41">
        <f t="shared" si="28"/>
        <v>0</v>
      </c>
      <c r="AS24" s="36">
        <f t="shared" si="29"/>
        <v>5</v>
      </c>
      <c r="AT24" s="13"/>
      <c r="AU24" s="25">
        <v>2</v>
      </c>
      <c r="AV24" s="26">
        <f>AW69</f>
        <v>55</v>
      </c>
      <c r="AW24" s="27">
        <f t="shared" si="30"/>
        <v>58.5</v>
      </c>
      <c r="AX24" s="24">
        <f t="shared" si="31"/>
        <v>6</v>
      </c>
      <c r="AZ24" s="20">
        <f t="shared" si="32"/>
        <v>3.5</v>
      </c>
    </row>
    <row r="25" spans="2:52" ht="15" x14ac:dyDescent="0.25">
      <c r="B25" s="62">
        <v>11</v>
      </c>
      <c r="C25" s="92" t="s">
        <v>90</v>
      </c>
      <c r="D25" s="92" t="s">
        <v>91</v>
      </c>
      <c r="E25" s="92">
        <v>1888124</v>
      </c>
      <c r="F25" s="93">
        <v>1</v>
      </c>
      <c r="G25" s="93">
        <v>2</v>
      </c>
      <c r="H25" s="93">
        <v>6</v>
      </c>
      <c r="I25" s="93">
        <v>1</v>
      </c>
      <c r="J25" s="94">
        <v>6</v>
      </c>
      <c r="K25" s="94">
        <v>7</v>
      </c>
      <c r="L25" s="94">
        <v>5</v>
      </c>
      <c r="M25" s="94">
        <v>7</v>
      </c>
      <c r="N25" s="94">
        <v>10</v>
      </c>
      <c r="O25" s="94">
        <v>10</v>
      </c>
      <c r="P25" s="94">
        <v>1</v>
      </c>
      <c r="Q25" s="94">
        <v>1</v>
      </c>
      <c r="R25" s="94">
        <v>1</v>
      </c>
      <c r="S25" s="94">
        <v>1</v>
      </c>
      <c r="T25" s="94">
        <v>0</v>
      </c>
      <c r="U25" s="94">
        <v>1.5</v>
      </c>
      <c r="V25" s="94"/>
      <c r="W25" s="90">
        <f t="shared" si="11"/>
        <v>1</v>
      </c>
      <c r="X25" s="90">
        <f t="shared" si="12"/>
        <v>2</v>
      </c>
      <c r="Y25" s="90">
        <f t="shared" si="13"/>
        <v>6</v>
      </c>
      <c r="Z25" s="90">
        <f t="shared" si="14"/>
        <v>1</v>
      </c>
      <c r="AA25" s="90">
        <f t="shared" si="15"/>
        <v>6</v>
      </c>
      <c r="AB25" s="90">
        <f t="shared" si="16"/>
        <v>7</v>
      </c>
      <c r="AC25" s="90">
        <f t="shared" si="17"/>
        <v>5</v>
      </c>
      <c r="AD25" s="90">
        <f t="shared" si="18"/>
        <v>7</v>
      </c>
      <c r="AE25" s="90">
        <f t="shared" si="19"/>
        <v>10</v>
      </c>
      <c r="AF25" s="90">
        <f t="shared" si="20"/>
        <v>10</v>
      </c>
      <c r="AG25" s="90">
        <f t="shared" si="21"/>
        <v>1</v>
      </c>
      <c r="AH25" s="90">
        <f t="shared" si="22"/>
        <v>1</v>
      </c>
      <c r="AI25" s="90">
        <f t="shared" si="23"/>
        <v>1</v>
      </c>
      <c r="AJ25" s="90">
        <f t="shared" si="24"/>
        <v>1</v>
      </c>
      <c r="AK25" s="90">
        <f t="shared" si="25"/>
        <v>0</v>
      </c>
      <c r="AL25" s="90">
        <f t="shared" si="26"/>
        <v>1.5</v>
      </c>
      <c r="AM25" s="91">
        <f t="shared" si="27"/>
        <v>60.5</v>
      </c>
      <c r="AO25" s="92" t="s">
        <v>90</v>
      </c>
      <c r="AP25" s="92" t="s">
        <v>91</v>
      </c>
      <c r="AQ25" s="92">
        <v>1888124</v>
      </c>
      <c r="AR25" s="41">
        <f t="shared" si="28"/>
        <v>60.5</v>
      </c>
      <c r="AS25" s="36">
        <f t="shared" si="29"/>
        <v>1.7</v>
      </c>
      <c r="AT25" s="13"/>
      <c r="AU25" s="25">
        <v>2.2999999999999998</v>
      </c>
      <c r="AV25" s="26">
        <f>AW68</f>
        <v>51</v>
      </c>
      <c r="AW25" s="27">
        <f t="shared" si="30"/>
        <v>54.5</v>
      </c>
      <c r="AX25" s="24">
        <f t="shared" si="31"/>
        <v>4</v>
      </c>
      <c r="AZ25" s="20">
        <f t="shared" si="32"/>
        <v>3.5</v>
      </c>
    </row>
    <row r="26" spans="2:52" ht="15" x14ac:dyDescent="0.25">
      <c r="B26" s="62">
        <v>12</v>
      </c>
      <c r="C26" s="92" t="s">
        <v>92</v>
      </c>
      <c r="D26" s="92" t="s">
        <v>93</v>
      </c>
      <c r="E26" s="92">
        <v>1879933</v>
      </c>
      <c r="F26" s="93">
        <v>1</v>
      </c>
      <c r="G26" s="93">
        <v>2</v>
      </c>
      <c r="H26" s="93">
        <v>6</v>
      </c>
      <c r="I26" s="93">
        <v>2</v>
      </c>
      <c r="J26" s="94">
        <v>1</v>
      </c>
      <c r="K26" s="94">
        <v>3</v>
      </c>
      <c r="L26" s="94">
        <v>1</v>
      </c>
      <c r="M26" s="94">
        <v>2.5</v>
      </c>
      <c r="N26" s="94">
        <v>10</v>
      </c>
      <c r="O26" s="94">
        <v>7</v>
      </c>
      <c r="P26" s="94">
        <v>1</v>
      </c>
      <c r="Q26" s="94">
        <v>1</v>
      </c>
      <c r="R26" s="94">
        <v>1</v>
      </c>
      <c r="S26" s="94">
        <v>1</v>
      </c>
      <c r="T26" s="94">
        <v>1.5</v>
      </c>
      <c r="U26" s="94">
        <v>1.5</v>
      </c>
      <c r="V26" s="94"/>
      <c r="W26" s="90">
        <f t="shared" si="11"/>
        <v>1</v>
      </c>
      <c r="X26" s="90">
        <f t="shared" si="12"/>
        <v>2</v>
      </c>
      <c r="Y26" s="90">
        <f t="shared" si="13"/>
        <v>6</v>
      </c>
      <c r="Z26" s="90">
        <f t="shared" si="14"/>
        <v>2</v>
      </c>
      <c r="AA26" s="90">
        <f t="shared" si="15"/>
        <v>1</v>
      </c>
      <c r="AB26" s="90">
        <f t="shared" si="16"/>
        <v>3</v>
      </c>
      <c r="AC26" s="90">
        <f t="shared" si="17"/>
        <v>1</v>
      </c>
      <c r="AD26" s="90">
        <f t="shared" si="18"/>
        <v>2.5</v>
      </c>
      <c r="AE26" s="90">
        <f t="shared" si="19"/>
        <v>10</v>
      </c>
      <c r="AF26" s="90">
        <f t="shared" si="20"/>
        <v>7</v>
      </c>
      <c r="AG26" s="90">
        <f t="shared" si="21"/>
        <v>1</v>
      </c>
      <c r="AH26" s="90">
        <f t="shared" si="22"/>
        <v>1</v>
      </c>
      <c r="AI26" s="90">
        <f t="shared" si="23"/>
        <v>1</v>
      </c>
      <c r="AJ26" s="90">
        <f t="shared" si="24"/>
        <v>1</v>
      </c>
      <c r="AK26" s="90">
        <f t="shared" si="25"/>
        <v>1.5</v>
      </c>
      <c r="AL26" s="90">
        <f t="shared" si="26"/>
        <v>1.5</v>
      </c>
      <c r="AM26" s="91">
        <f t="shared" si="27"/>
        <v>42.5</v>
      </c>
      <c r="AO26" s="92" t="s">
        <v>92</v>
      </c>
      <c r="AP26" s="92" t="s">
        <v>93</v>
      </c>
      <c r="AQ26" s="92">
        <v>1879933</v>
      </c>
      <c r="AR26" s="41">
        <f t="shared" si="28"/>
        <v>42.5</v>
      </c>
      <c r="AS26" s="36">
        <f t="shared" si="29"/>
        <v>3</v>
      </c>
      <c r="AT26" s="13"/>
      <c r="AU26" s="25">
        <v>2.7</v>
      </c>
      <c r="AV26" s="26">
        <f>AW67</f>
        <v>46.5</v>
      </c>
      <c r="AW26" s="27">
        <f t="shared" si="30"/>
        <v>50.5</v>
      </c>
      <c r="AX26" s="24">
        <f t="shared" si="31"/>
        <v>7</v>
      </c>
      <c r="AZ26" s="20">
        <f t="shared" si="32"/>
        <v>4</v>
      </c>
    </row>
    <row r="27" spans="2:52" ht="15" x14ac:dyDescent="0.25">
      <c r="B27" s="62">
        <v>13</v>
      </c>
      <c r="C27" s="92" t="s">
        <v>94</v>
      </c>
      <c r="D27" s="92" t="s">
        <v>95</v>
      </c>
      <c r="E27" s="92">
        <v>1885420</v>
      </c>
      <c r="F27" s="93">
        <v>0.5</v>
      </c>
      <c r="G27" s="93">
        <v>1</v>
      </c>
      <c r="H27" s="93">
        <v>6</v>
      </c>
      <c r="I27" s="93">
        <v>3</v>
      </c>
      <c r="J27" s="94">
        <v>2.5</v>
      </c>
      <c r="K27" s="94">
        <v>3</v>
      </c>
      <c r="L27" s="94">
        <v>2</v>
      </c>
      <c r="M27" s="94">
        <v>6.5</v>
      </c>
      <c r="N27" s="94">
        <v>3</v>
      </c>
      <c r="O27" s="94">
        <v>0.5</v>
      </c>
      <c r="P27" s="94">
        <v>1</v>
      </c>
      <c r="Q27" s="94">
        <v>0</v>
      </c>
      <c r="R27" s="94">
        <v>1</v>
      </c>
      <c r="S27" s="94">
        <v>1</v>
      </c>
      <c r="T27" s="94">
        <v>1.5</v>
      </c>
      <c r="U27" s="94">
        <v>1.5</v>
      </c>
      <c r="V27" s="94"/>
      <c r="W27" s="90">
        <f t="shared" si="11"/>
        <v>0.5</v>
      </c>
      <c r="X27" s="90">
        <f t="shared" si="12"/>
        <v>1</v>
      </c>
      <c r="Y27" s="90">
        <f t="shared" si="13"/>
        <v>6</v>
      </c>
      <c r="Z27" s="90">
        <f t="shared" si="14"/>
        <v>3</v>
      </c>
      <c r="AA27" s="90">
        <f t="shared" si="15"/>
        <v>2.5</v>
      </c>
      <c r="AB27" s="90">
        <f t="shared" si="16"/>
        <v>3</v>
      </c>
      <c r="AC27" s="90">
        <f t="shared" si="17"/>
        <v>2</v>
      </c>
      <c r="AD27" s="90">
        <f t="shared" si="18"/>
        <v>6.5</v>
      </c>
      <c r="AE27" s="90">
        <f t="shared" si="19"/>
        <v>3</v>
      </c>
      <c r="AF27" s="90">
        <f t="shared" si="20"/>
        <v>0.5</v>
      </c>
      <c r="AG27" s="90">
        <f t="shared" si="21"/>
        <v>1</v>
      </c>
      <c r="AH27" s="90">
        <f t="shared" si="22"/>
        <v>0</v>
      </c>
      <c r="AI27" s="90">
        <f t="shared" si="23"/>
        <v>1</v>
      </c>
      <c r="AJ27" s="90">
        <f t="shared" si="24"/>
        <v>1</v>
      </c>
      <c r="AK27" s="90">
        <f t="shared" si="25"/>
        <v>1.5</v>
      </c>
      <c r="AL27" s="90">
        <f t="shared" si="26"/>
        <v>1.5</v>
      </c>
      <c r="AM27" s="91">
        <f t="shared" si="27"/>
        <v>34</v>
      </c>
      <c r="AO27" s="92" t="s">
        <v>94</v>
      </c>
      <c r="AP27" s="92" t="s">
        <v>95</v>
      </c>
      <c r="AQ27" s="92">
        <v>1885420</v>
      </c>
      <c r="AR27" s="41">
        <f t="shared" si="28"/>
        <v>34</v>
      </c>
      <c r="AS27" s="36">
        <f t="shared" si="29"/>
        <v>3.7</v>
      </c>
      <c r="AT27" s="13"/>
      <c r="AU27" s="25">
        <v>3</v>
      </c>
      <c r="AV27" s="26">
        <f>AW66</f>
        <v>42.5</v>
      </c>
      <c r="AW27" s="27">
        <f t="shared" si="30"/>
        <v>46</v>
      </c>
      <c r="AX27" s="24">
        <f t="shared" si="31"/>
        <v>6</v>
      </c>
      <c r="AZ27" s="20">
        <f t="shared" si="32"/>
        <v>3.5</v>
      </c>
    </row>
    <row r="28" spans="2:52" ht="15" x14ac:dyDescent="0.25">
      <c r="B28" s="62">
        <v>14</v>
      </c>
      <c r="C28" s="92" t="s">
        <v>55</v>
      </c>
      <c r="D28" s="92" t="s">
        <v>96</v>
      </c>
      <c r="E28" s="92">
        <v>1900983</v>
      </c>
      <c r="F28" s="93">
        <v>2</v>
      </c>
      <c r="G28" s="93">
        <v>2</v>
      </c>
      <c r="H28" s="93">
        <v>6</v>
      </c>
      <c r="I28" s="93">
        <v>0</v>
      </c>
      <c r="J28" s="94">
        <v>2</v>
      </c>
      <c r="K28" s="94">
        <v>0</v>
      </c>
      <c r="L28" s="94">
        <v>5</v>
      </c>
      <c r="M28" s="94">
        <v>5</v>
      </c>
      <c r="N28" s="94">
        <v>10</v>
      </c>
      <c r="O28" s="94">
        <v>12</v>
      </c>
      <c r="P28" s="94">
        <v>0</v>
      </c>
      <c r="Q28" s="94">
        <v>0</v>
      </c>
      <c r="R28" s="94">
        <v>1</v>
      </c>
      <c r="S28" s="94">
        <v>1</v>
      </c>
      <c r="T28" s="94">
        <v>0</v>
      </c>
      <c r="U28" s="94">
        <v>0</v>
      </c>
      <c r="V28" s="94"/>
      <c r="W28" s="90">
        <f t="shared" si="11"/>
        <v>2</v>
      </c>
      <c r="X28" s="90">
        <f t="shared" si="12"/>
        <v>2</v>
      </c>
      <c r="Y28" s="90">
        <f t="shared" si="13"/>
        <v>6</v>
      </c>
      <c r="Z28" s="90">
        <f t="shared" si="14"/>
        <v>0</v>
      </c>
      <c r="AA28" s="90">
        <f t="shared" si="15"/>
        <v>2</v>
      </c>
      <c r="AB28" s="90">
        <f t="shared" si="16"/>
        <v>0</v>
      </c>
      <c r="AC28" s="90">
        <f t="shared" si="17"/>
        <v>5</v>
      </c>
      <c r="AD28" s="90">
        <f t="shared" si="18"/>
        <v>5</v>
      </c>
      <c r="AE28" s="90">
        <f t="shared" si="19"/>
        <v>10</v>
      </c>
      <c r="AF28" s="90">
        <f t="shared" si="20"/>
        <v>12</v>
      </c>
      <c r="AG28" s="90">
        <f t="shared" si="21"/>
        <v>0</v>
      </c>
      <c r="AH28" s="90">
        <f t="shared" si="22"/>
        <v>0</v>
      </c>
      <c r="AI28" s="90">
        <f t="shared" si="23"/>
        <v>1</v>
      </c>
      <c r="AJ28" s="90">
        <f t="shared" si="24"/>
        <v>1</v>
      </c>
      <c r="AK28" s="90">
        <f t="shared" si="25"/>
        <v>0</v>
      </c>
      <c r="AL28" s="90">
        <f t="shared" si="26"/>
        <v>0</v>
      </c>
      <c r="AM28" s="91">
        <f t="shared" si="27"/>
        <v>46</v>
      </c>
      <c r="AO28" s="92" t="s">
        <v>55</v>
      </c>
      <c r="AP28" s="92" t="s">
        <v>96</v>
      </c>
      <c r="AQ28" s="92">
        <v>1900983</v>
      </c>
      <c r="AR28" s="41">
        <f t="shared" ref="AR28:AR33" si="33">AM28</f>
        <v>46</v>
      </c>
      <c r="AS28" s="36">
        <f t="shared" ref="AS28:AS33" si="34">INDEX(noten,MATCH(AR28,Grenzen),1)</f>
        <v>3</v>
      </c>
      <c r="AT28" s="13"/>
      <c r="AU28" s="25">
        <v>3.3</v>
      </c>
      <c r="AV28" s="43">
        <f>AW65</f>
        <v>38.5</v>
      </c>
      <c r="AW28" s="27">
        <f t="shared" si="30"/>
        <v>42</v>
      </c>
      <c r="AX28" s="24">
        <f t="shared" si="31"/>
        <v>3</v>
      </c>
      <c r="AZ28" s="20">
        <f t="shared" si="32"/>
        <v>3.5</v>
      </c>
    </row>
    <row r="29" spans="2:52" ht="15" x14ac:dyDescent="0.25">
      <c r="B29" s="62">
        <v>15</v>
      </c>
      <c r="C29" s="92" t="s">
        <v>56</v>
      </c>
      <c r="D29" s="92" t="s">
        <v>97</v>
      </c>
      <c r="E29" s="92">
        <v>1882599</v>
      </c>
      <c r="F29" s="93">
        <v>0</v>
      </c>
      <c r="G29" s="93">
        <v>0</v>
      </c>
      <c r="H29" s="93">
        <v>0</v>
      </c>
      <c r="I29" s="93">
        <v>1</v>
      </c>
      <c r="J29" s="94">
        <v>0</v>
      </c>
      <c r="K29" s="94">
        <v>0</v>
      </c>
      <c r="L29" s="94">
        <v>5</v>
      </c>
      <c r="M29" s="94">
        <v>12</v>
      </c>
      <c r="N29" s="94">
        <v>5</v>
      </c>
      <c r="O29" s="94">
        <v>1</v>
      </c>
      <c r="P29" s="94">
        <v>1</v>
      </c>
      <c r="Q29" s="94">
        <v>0</v>
      </c>
      <c r="R29" s="94">
        <v>0</v>
      </c>
      <c r="S29" s="94">
        <v>0</v>
      </c>
      <c r="T29" s="94">
        <v>1.5</v>
      </c>
      <c r="U29" s="94">
        <v>0</v>
      </c>
      <c r="V29" s="94"/>
      <c r="W29" s="90">
        <f t="shared" si="11"/>
        <v>0</v>
      </c>
      <c r="X29" s="90">
        <f t="shared" si="12"/>
        <v>0</v>
      </c>
      <c r="Y29" s="90">
        <f t="shared" si="13"/>
        <v>0</v>
      </c>
      <c r="Z29" s="90">
        <f t="shared" si="14"/>
        <v>1</v>
      </c>
      <c r="AA29" s="90">
        <f t="shared" si="15"/>
        <v>0</v>
      </c>
      <c r="AB29" s="90">
        <f t="shared" si="16"/>
        <v>0</v>
      </c>
      <c r="AC29" s="90">
        <f t="shared" si="17"/>
        <v>5</v>
      </c>
      <c r="AD29" s="90">
        <f t="shared" si="18"/>
        <v>12</v>
      </c>
      <c r="AE29" s="90">
        <f t="shared" si="19"/>
        <v>5</v>
      </c>
      <c r="AF29" s="90">
        <f t="shared" si="20"/>
        <v>1</v>
      </c>
      <c r="AG29" s="90">
        <f t="shared" si="21"/>
        <v>1</v>
      </c>
      <c r="AH29" s="90">
        <f t="shared" si="22"/>
        <v>0</v>
      </c>
      <c r="AI29" s="90">
        <f t="shared" si="23"/>
        <v>0</v>
      </c>
      <c r="AJ29" s="90">
        <f t="shared" si="24"/>
        <v>0</v>
      </c>
      <c r="AK29" s="90">
        <f t="shared" si="25"/>
        <v>1.5</v>
      </c>
      <c r="AL29" s="90">
        <f t="shared" si="26"/>
        <v>0</v>
      </c>
      <c r="AM29" s="91">
        <f t="shared" si="27"/>
        <v>26.5</v>
      </c>
      <c r="AO29" s="92" t="s">
        <v>56</v>
      </c>
      <c r="AP29" s="92" t="s">
        <v>97</v>
      </c>
      <c r="AQ29" s="92">
        <v>1882599</v>
      </c>
      <c r="AR29" s="41">
        <f t="shared" si="33"/>
        <v>26.5</v>
      </c>
      <c r="AS29" s="36">
        <f t="shared" si="34"/>
        <v>5</v>
      </c>
      <c r="AT29" s="13"/>
      <c r="AU29" s="25">
        <v>3.7</v>
      </c>
      <c r="AV29" s="26">
        <f>AW64</f>
        <v>34</v>
      </c>
      <c r="AW29" s="27">
        <f t="shared" si="30"/>
        <v>38</v>
      </c>
      <c r="AX29" s="24">
        <f t="shared" si="31"/>
        <v>3</v>
      </c>
      <c r="AZ29" s="20">
        <f t="shared" si="32"/>
        <v>4</v>
      </c>
    </row>
    <row r="30" spans="2:52" ht="15" x14ac:dyDescent="0.25">
      <c r="B30" s="62">
        <v>16</v>
      </c>
      <c r="C30" s="92" t="s">
        <v>56</v>
      </c>
      <c r="D30" s="92" t="s">
        <v>98</v>
      </c>
      <c r="E30" s="92">
        <v>1879959</v>
      </c>
      <c r="F30" s="93">
        <v>0</v>
      </c>
      <c r="G30" s="93">
        <v>2</v>
      </c>
      <c r="H30" s="93">
        <v>6</v>
      </c>
      <c r="I30" s="93">
        <v>0</v>
      </c>
      <c r="J30" s="94">
        <v>0</v>
      </c>
      <c r="K30" s="94">
        <v>0</v>
      </c>
      <c r="L30" s="94">
        <v>2</v>
      </c>
      <c r="M30" s="94">
        <v>1</v>
      </c>
      <c r="N30" s="94">
        <v>4</v>
      </c>
      <c r="O30" s="94">
        <v>8</v>
      </c>
      <c r="P30" s="94">
        <v>1</v>
      </c>
      <c r="Q30" s="94">
        <v>0</v>
      </c>
      <c r="R30" s="94">
        <v>0</v>
      </c>
      <c r="S30" s="94">
        <v>0</v>
      </c>
      <c r="T30" s="94">
        <v>1.5</v>
      </c>
      <c r="U30" s="94">
        <v>1.5</v>
      </c>
      <c r="V30" s="94"/>
      <c r="W30" s="90">
        <f t="shared" si="11"/>
        <v>0</v>
      </c>
      <c r="X30" s="90">
        <f t="shared" si="12"/>
        <v>2</v>
      </c>
      <c r="Y30" s="90">
        <f t="shared" si="13"/>
        <v>6</v>
      </c>
      <c r="Z30" s="90">
        <f t="shared" si="14"/>
        <v>0</v>
      </c>
      <c r="AA30" s="90">
        <f t="shared" si="15"/>
        <v>0</v>
      </c>
      <c r="AB30" s="90">
        <f t="shared" si="16"/>
        <v>0</v>
      </c>
      <c r="AC30" s="90">
        <f t="shared" si="17"/>
        <v>2</v>
      </c>
      <c r="AD30" s="90">
        <f t="shared" si="18"/>
        <v>1</v>
      </c>
      <c r="AE30" s="90">
        <f t="shared" si="19"/>
        <v>4</v>
      </c>
      <c r="AF30" s="90">
        <f t="shared" si="20"/>
        <v>8</v>
      </c>
      <c r="AG30" s="90">
        <f t="shared" si="21"/>
        <v>1</v>
      </c>
      <c r="AH30" s="90">
        <f t="shared" si="22"/>
        <v>0</v>
      </c>
      <c r="AI30" s="90">
        <f t="shared" si="23"/>
        <v>0</v>
      </c>
      <c r="AJ30" s="90">
        <f t="shared" si="24"/>
        <v>0</v>
      </c>
      <c r="AK30" s="90">
        <f t="shared" si="25"/>
        <v>1.5</v>
      </c>
      <c r="AL30" s="90">
        <f t="shared" si="26"/>
        <v>1.5</v>
      </c>
      <c r="AM30" s="91">
        <f t="shared" si="27"/>
        <v>27</v>
      </c>
      <c r="AO30" s="92" t="s">
        <v>56</v>
      </c>
      <c r="AP30" s="92" t="s">
        <v>98</v>
      </c>
      <c r="AQ30" s="92">
        <v>1879959</v>
      </c>
      <c r="AR30" s="41">
        <f t="shared" si="33"/>
        <v>27</v>
      </c>
      <c r="AS30" s="36">
        <f t="shared" si="34"/>
        <v>5</v>
      </c>
      <c r="AT30" s="13"/>
      <c r="AU30" s="25">
        <v>4</v>
      </c>
      <c r="AV30" s="26">
        <f>AV13</f>
        <v>30</v>
      </c>
      <c r="AW30" s="27">
        <f t="shared" si="30"/>
        <v>33.5</v>
      </c>
      <c r="AX30" s="24">
        <f t="shared" si="31"/>
        <v>3</v>
      </c>
      <c r="AZ30" s="20">
        <f t="shared" si="32"/>
        <v>3.5</v>
      </c>
    </row>
    <row r="31" spans="2:52" ht="15.6" thickBot="1" x14ac:dyDescent="0.3">
      <c r="B31" s="62">
        <v>17</v>
      </c>
      <c r="C31" s="92" t="s">
        <v>99</v>
      </c>
      <c r="D31" s="92" t="s">
        <v>100</v>
      </c>
      <c r="E31" s="92">
        <v>1894413</v>
      </c>
      <c r="F31" s="93">
        <v>2</v>
      </c>
      <c r="G31" s="93">
        <v>0</v>
      </c>
      <c r="H31" s="93">
        <v>2</v>
      </c>
      <c r="I31" s="93">
        <v>1</v>
      </c>
      <c r="J31" s="94">
        <v>0</v>
      </c>
      <c r="K31" s="94">
        <v>0</v>
      </c>
      <c r="L31" s="94">
        <v>5</v>
      </c>
      <c r="M31" s="94">
        <v>9</v>
      </c>
      <c r="N31" s="94">
        <v>10</v>
      </c>
      <c r="O31" s="94">
        <v>12</v>
      </c>
      <c r="P31" s="94">
        <v>1</v>
      </c>
      <c r="Q31" s="94">
        <v>0</v>
      </c>
      <c r="R31" s="94">
        <v>0</v>
      </c>
      <c r="S31" s="94">
        <v>1</v>
      </c>
      <c r="T31" s="94">
        <v>1.5</v>
      </c>
      <c r="U31" s="94">
        <v>1.5</v>
      </c>
      <c r="V31" s="94"/>
      <c r="W31" s="90">
        <f t="shared" si="11"/>
        <v>2</v>
      </c>
      <c r="X31" s="90">
        <f t="shared" si="12"/>
        <v>0</v>
      </c>
      <c r="Y31" s="90">
        <f t="shared" si="13"/>
        <v>2</v>
      </c>
      <c r="Z31" s="90">
        <f t="shared" si="14"/>
        <v>1</v>
      </c>
      <c r="AA31" s="90">
        <f t="shared" si="15"/>
        <v>0</v>
      </c>
      <c r="AB31" s="90">
        <f t="shared" si="16"/>
        <v>0</v>
      </c>
      <c r="AC31" s="90">
        <f t="shared" si="17"/>
        <v>5</v>
      </c>
      <c r="AD31" s="90">
        <f t="shared" si="18"/>
        <v>9</v>
      </c>
      <c r="AE31" s="90">
        <f t="shared" si="19"/>
        <v>10</v>
      </c>
      <c r="AF31" s="90">
        <f t="shared" si="20"/>
        <v>12</v>
      </c>
      <c r="AG31" s="90">
        <f t="shared" si="21"/>
        <v>1</v>
      </c>
      <c r="AH31" s="90">
        <f t="shared" si="22"/>
        <v>0</v>
      </c>
      <c r="AI31" s="90">
        <f t="shared" si="23"/>
        <v>0</v>
      </c>
      <c r="AJ31" s="90">
        <f t="shared" si="24"/>
        <v>1</v>
      </c>
      <c r="AK31" s="90">
        <f t="shared" si="25"/>
        <v>1.5</v>
      </c>
      <c r="AL31" s="90">
        <f t="shared" si="26"/>
        <v>1.5</v>
      </c>
      <c r="AM31" s="91">
        <f t="shared" si="27"/>
        <v>46</v>
      </c>
      <c r="AO31" s="92" t="s">
        <v>99</v>
      </c>
      <c r="AP31" s="92" t="s">
        <v>100</v>
      </c>
      <c r="AQ31" s="92">
        <v>1894413</v>
      </c>
      <c r="AR31" s="41">
        <f t="shared" si="33"/>
        <v>46</v>
      </c>
      <c r="AS31" s="36">
        <f t="shared" si="34"/>
        <v>3</v>
      </c>
      <c r="AU31" s="28">
        <v>5</v>
      </c>
      <c r="AV31" s="29">
        <v>0</v>
      </c>
      <c r="AW31" s="30">
        <f>AV13-0.5</f>
        <v>29.5</v>
      </c>
      <c r="AX31" s="24">
        <f>COUNTIF($AS$15:$AS$94,AU31)</f>
        <v>12</v>
      </c>
      <c r="AZ31" s="20">
        <f>AW31-AV31</f>
        <v>29.5</v>
      </c>
    </row>
    <row r="32" spans="2:52" ht="15.6" thickBot="1" x14ac:dyDescent="0.3">
      <c r="B32" s="62">
        <v>18</v>
      </c>
      <c r="C32" s="92" t="s">
        <v>101</v>
      </c>
      <c r="D32" s="92" t="s">
        <v>102</v>
      </c>
      <c r="E32" s="92">
        <v>1891694</v>
      </c>
      <c r="F32" s="93">
        <v>1</v>
      </c>
      <c r="G32" s="93">
        <v>0.5</v>
      </c>
      <c r="H32" s="93">
        <v>6</v>
      </c>
      <c r="I32" s="93">
        <v>1</v>
      </c>
      <c r="J32" s="94">
        <v>6</v>
      </c>
      <c r="K32" s="94">
        <v>2</v>
      </c>
      <c r="L32" s="94">
        <v>5</v>
      </c>
      <c r="M32" s="94">
        <v>8</v>
      </c>
      <c r="N32" s="94">
        <v>10</v>
      </c>
      <c r="O32" s="94">
        <v>12</v>
      </c>
      <c r="P32" s="94">
        <v>1</v>
      </c>
      <c r="Q32" s="94">
        <v>0</v>
      </c>
      <c r="R32" s="94">
        <v>0</v>
      </c>
      <c r="S32" s="94">
        <v>1</v>
      </c>
      <c r="T32" s="94">
        <v>0</v>
      </c>
      <c r="U32" s="94">
        <v>1.5</v>
      </c>
      <c r="V32" s="94"/>
      <c r="W32" s="90">
        <f t="shared" si="11"/>
        <v>1</v>
      </c>
      <c r="X32" s="90">
        <f t="shared" si="12"/>
        <v>0.5</v>
      </c>
      <c r="Y32" s="90">
        <f t="shared" si="13"/>
        <v>6</v>
      </c>
      <c r="Z32" s="90">
        <f t="shared" si="14"/>
        <v>1</v>
      </c>
      <c r="AA32" s="90">
        <f t="shared" si="15"/>
        <v>6</v>
      </c>
      <c r="AB32" s="90">
        <f t="shared" si="16"/>
        <v>2</v>
      </c>
      <c r="AC32" s="90">
        <f t="shared" si="17"/>
        <v>5</v>
      </c>
      <c r="AD32" s="90">
        <f t="shared" si="18"/>
        <v>8</v>
      </c>
      <c r="AE32" s="90">
        <f t="shared" si="19"/>
        <v>10</v>
      </c>
      <c r="AF32" s="90">
        <f t="shared" si="20"/>
        <v>12</v>
      </c>
      <c r="AG32" s="90">
        <f t="shared" si="21"/>
        <v>1</v>
      </c>
      <c r="AH32" s="90">
        <f t="shared" si="22"/>
        <v>0</v>
      </c>
      <c r="AI32" s="90">
        <f t="shared" si="23"/>
        <v>0</v>
      </c>
      <c r="AJ32" s="90">
        <f t="shared" si="24"/>
        <v>1</v>
      </c>
      <c r="AK32" s="90">
        <f t="shared" si="25"/>
        <v>0</v>
      </c>
      <c r="AL32" s="90">
        <f t="shared" si="26"/>
        <v>1.5</v>
      </c>
      <c r="AM32" s="91">
        <f t="shared" si="27"/>
        <v>55</v>
      </c>
      <c r="AO32" s="92" t="s">
        <v>101</v>
      </c>
      <c r="AP32" s="92" t="s">
        <v>102</v>
      </c>
      <c r="AQ32" s="92">
        <v>1891694</v>
      </c>
      <c r="AR32" s="41">
        <f t="shared" si="33"/>
        <v>55</v>
      </c>
      <c r="AS32" s="36">
        <f t="shared" si="34"/>
        <v>2</v>
      </c>
      <c r="AU32" s="18" t="s">
        <v>10</v>
      </c>
      <c r="AV32" s="32"/>
      <c r="AW32" s="32"/>
      <c r="AX32" s="32"/>
      <c r="AY32" s="19" t="s">
        <v>11</v>
      </c>
      <c r="AZ32" s="33">
        <f>SUM(AX21:AX31)</f>
        <v>49</v>
      </c>
    </row>
    <row r="33" spans="2:53" ht="15.6" thickBot="1" x14ac:dyDescent="0.3">
      <c r="B33" s="62">
        <v>19</v>
      </c>
      <c r="C33" s="92" t="s">
        <v>103</v>
      </c>
      <c r="D33" s="92" t="s">
        <v>104</v>
      </c>
      <c r="E33" s="92">
        <v>1852516</v>
      </c>
      <c r="F33" s="93">
        <v>1</v>
      </c>
      <c r="G33" s="93">
        <v>1</v>
      </c>
      <c r="H33" s="93">
        <v>6</v>
      </c>
      <c r="I33" s="93">
        <v>2</v>
      </c>
      <c r="J33" s="94">
        <v>6</v>
      </c>
      <c r="K33" s="94">
        <v>2</v>
      </c>
      <c r="L33" s="94">
        <v>1</v>
      </c>
      <c r="M33" s="94">
        <v>0.5</v>
      </c>
      <c r="N33" s="94">
        <v>10</v>
      </c>
      <c r="O33" s="94">
        <v>0</v>
      </c>
      <c r="P33" s="94">
        <v>1</v>
      </c>
      <c r="Q33" s="94">
        <v>0</v>
      </c>
      <c r="R33" s="94">
        <v>1</v>
      </c>
      <c r="S33" s="94">
        <v>1</v>
      </c>
      <c r="T33" s="94">
        <v>1.5</v>
      </c>
      <c r="U33" s="94">
        <v>1.5</v>
      </c>
      <c r="V33" s="94"/>
      <c r="W33" s="90">
        <f t="shared" si="11"/>
        <v>1</v>
      </c>
      <c r="X33" s="90">
        <f t="shared" si="12"/>
        <v>1</v>
      </c>
      <c r="Y33" s="90">
        <f t="shared" si="13"/>
        <v>6</v>
      </c>
      <c r="Z33" s="90">
        <f t="shared" si="14"/>
        <v>2</v>
      </c>
      <c r="AA33" s="90">
        <f t="shared" si="15"/>
        <v>6</v>
      </c>
      <c r="AB33" s="90">
        <f t="shared" si="16"/>
        <v>2</v>
      </c>
      <c r="AC33" s="90">
        <f t="shared" si="17"/>
        <v>1</v>
      </c>
      <c r="AD33" s="90">
        <f t="shared" si="18"/>
        <v>0.5</v>
      </c>
      <c r="AE33" s="90">
        <f t="shared" si="19"/>
        <v>10</v>
      </c>
      <c r="AF33" s="90">
        <f t="shared" si="20"/>
        <v>0</v>
      </c>
      <c r="AG33" s="90">
        <f t="shared" si="21"/>
        <v>1</v>
      </c>
      <c r="AH33" s="90">
        <f t="shared" si="22"/>
        <v>0</v>
      </c>
      <c r="AI33" s="90">
        <f t="shared" si="23"/>
        <v>1</v>
      </c>
      <c r="AJ33" s="90">
        <f t="shared" si="24"/>
        <v>1</v>
      </c>
      <c r="AK33" s="90">
        <f t="shared" si="25"/>
        <v>1.5</v>
      </c>
      <c r="AL33" s="90">
        <f t="shared" si="26"/>
        <v>1.5</v>
      </c>
      <c r="AM33" s="91">
        <f t="shared" si="27"/>
        <v>35.5</v>
      </c>
      <c r="AO33" s="92" t="s">
        <v>103</v>
      </c>
      <c r="AP33" s="92" t="s">
        <v>104</v>
      </c>
      <c r="AQ33" s="92">
        <v>1852516</v>
      </c>
      <c r="AR33" s="41">
        <f t="shared" si="33"/>
        <v>35.5</v>
      </c>
      <c r="AS33" s="36">
        <f t="shared" si="34"/>
        <v>3.7</v>
      </c>
      <c r="AU33" s="34"/>
      <c r="AV33" s="34"/>
      <c r="AW33" s="34"/>
      <c r="AX33" s="34"/>
      <c r="AY33" s="34"/>
      <c r="AZ33" s="31"/>
    </row>
    <row r="34" spans="2:53" ht="15.6" thickBot="1" x14ac:dyDescent="0.3">
      <c r="B34" s="62">
        <v>20</v>
      </c>
      <c r="C34" s="92" t="s">
        <v>105</v>
      </c>
      <c r="D34" s="92" t="s">
        <v>106</v>
      </c>
      <c r="E34" s="92">
        <v>1877083</v>
      </c>
      <c r="F34" s="93">
        <v>1</v>
      </c>
      <c r="G34" s="93">
        <v>1</v>
      </c>
      <c r="H34" s="93">
        <v>6</v>
      </c>
      <c r="I34" s="93">
        <v>0</v>
      </c>
      <c r="J34" s="94">
        <v>2</v>
      </c>
      <c r="K34" s="94">
        <v>2</v>
      </c>
      <c r="L34" s="94">
        <v>5</v>
      </c>
      <c r="M34" s="94">
        <v>6</v>
      </c>
      <c r="N34" s="94">
        <v>10</v>
      </c>
      <c r="O34" s="94">
        <v>3</v>
      </c>
      <c r="P34" s="94">
        <v>1</v>
      </c>
      <c r="Q34" s="94">
        <v>0</v>
      </c>
      <c r="R34" s="94">
        <v>0</v>
      </c>
      <c r="S34" s="94">
        <v>1</v>
      </c>
      <c r="T34" s="94">
        <v>0</v>
      </c>
      <c r="U34" s="94">
        <v>1.5</v>
      </c>
      <c r="V34" s="94"/>
      <c r="W34" s="90">
        <f t="shared" si="11"/>
        <v>1</v>
      </c>
      <c r="X34" s="90">
        <f t="shared" si="12"/>
        <v>1</v>
      </c>
      <c r="Y34" s="90">
        <f t="shared" si="13"/>
        <v>6</v>
      </c>
      <c r="Z34" s="90">
        <f t="shared" si="14"/>
        <v>0</v>
      </c>
      <c r="AA34" s="90">
        <f t="shared" si="15"/>
        <v>2</v>
      </c>
      <c r="AB34" s="90">
        <f t="shared" si="16"/>
        <v>2</v>
      </c>
      <c r="AC34" s="90">
        <f t="shared" si="17"/>
        <v>5</v>
      </c>
      <c r="AD34" s="90">
        <f t="shared" si="18"/>
        <v>6</v>
      </c>
      <c r="AE34" s="90">
        <f t="shared" si="19"/>
        <v>10</v>
      </c>
      <c r="AF34" s="90">
        <f t="shared" si="20"/>
        <v>3</v>
      </c>
      <c r="AG34" s="90">
        <f t="shared" si="21"/>
        <v>1</v>
      </c>
      <c r="AH34" s="90">
        <f t="shared" si="22"/>
        <v>0</v>
      </c>
      <c r="AI34" s="90">
        <f t="shared" si="23"/>
        <v>0</v>
      </c>
      <c r="AJ34" s="90">
        <f t="shared" si="24"/>
        <v>1</v>
      </c>
      <c r="AK34" s="90">
        <f t="shared" si="25"/>
        <v>0</v>
      </c>
      <c r="AL34" s="90">
        <f t="shared" si="26"/>
        <v>1.5</v>
      </c>
      <c r="AM34" s="91">
        <f t="shared" si="27"/>
        <v>39.5</v>
      </c>
      <c r="AO34" s="92" t="s">
        <v>105</v>
      </c>
      <c r="AP34" s="92" t="s">
        <v>106</v>
      </c>
      <c r="AQ34" s="92">
        <v>1877083</v>
      </c>
      <c r="AR34" s="41">
        <f t="shared" ref="AR34:AR62" si="35">AM34</f>
        <v>39.5</v>
      </c>
      <c r="AS34" s="36">
        <f t="shared" ref="AS34:AS63" si="36">INDEX(noten,MATCH(AR34,Grenzen),1)</f>
        <v>3.3</v>
      </c>
      <c r="AU34" s="35" t="s">
        <v>12</v>
      </c>
      <c r="AV34" s="42"/>
      <c r="AW34" s="32"/>
      <c r="AX34" s="32"/>
      <c r="AY34" s="32"/>
      <c r="AZ34" s="10">
        <f>ROUND((AX21*1+AX22*1.3+AX23*1.7+AX24*2+AX25*2.3+AX26*2.7+AX27*3+AX28*3.3+AX29*3.7+AX30*4+AX31*5)/AZ32,1)</f>
        <v>3.2</v>
      </c>
    </row>
    <row r="35" spans="2:53" ht="15.6" thickBot="1" x14ac:dyDescent="0.3">
      <c r="B35" s="62">
        <v>21</v>
      </c>
      <c r="C35" s="92" t="s">
        <v>107</v>
      </c>
      <c r="D35" s="92" t="s">
        <v>108</v>
      </c>
      <c r="E35" s="92">
        <v>1899405</v>
      </c>
      <c r="F35" s="93">
        <v>2</v>
      </c>
      <c r="G35" s="93">
        <v>1</v>
      </c>
      <c r="H35" s="93">
        <v>6</v>
      </c>
      <c r="I35" s="93">
        <v>1</v>
      </c>
      <c r="J35" s="94">
        <v>3</v>
      </c>
      <c r="K35" s="94">
        <v>1</v>
      </c>
      <c r="L35" s="94">
        <v>3</v>
      </c>
      <c r="M35" s="94">
        <v>10</v>
      </c>
      <c r="N35" s="94">
        <v>10</v>
      </c>
      <c r="O35" s="94">
        <v>0</v>
      </c>
      <c r="P35" s="94">
        <v>1</v>
      </c>
      <c r="Q35" s="94">
        <v>0</v>
      </c>
      <c r="R35" s="94">
        <v>0</v>
      </c>
      <c r="S35" s="94">
        <v>1</v>
      </c>
      <c r="T35" s="94">
        <v>0</v>
      </c>
      <c r="U35" s="94">
        <v>1.5</v>
      </c>
      <c r="V35" s="94"/>
      <c r="W35" s="90">
        <f t="shared" si="11"/>
        <v>2</v>
      </c>
      <c r="X35" s="90">
        <f t="shared" si="12"/>
        <v>1</v>
      </c>
      <c r="Y35" s="90">
        <f t="shared" si="13"/>
        <v>6</v>
      </c>
      <c r="Z35" s="90">
        <f t="shared" si="14"/>
        <v>1</v>
      </c>
      <c r="AA35" s="90">
        <f t="shared" si="15"/>
        <v>3</v>
      </c>
      <c r="AB35" s="90">
        <f t="shared" si="16"/>
        <v>1</v>
      </c>
      <c r="AC35" s="90">
        <f t="shared" si="17"/>
        <v>3</v>
      </c>
      <c r="AD35" s="90">
        <f t="shared" si="18"/>
        <v>10</v>
      </c>
      <c r="AE35" s="90">
        <f t="shared" si="19"/>
        <v>10</v>
      </c>
      <c r="AF35" s="90">
        <f t="shared" si="20"/>
        <v>0</v>
      </c>
      <c r="AG35" s="90">
        <f t="shared" si="21"/>
        <v>1</v>
      </c>
      <c r="AH35" s="90">
        <f t="shared" si="22"/>
        <v>0</v>
      </c>
      <c r="AI35" s="90">
        <f t="shared" si="23"/>
        <v>0</v>
      </c>
      <c r="AJ35" s="90">
        <f t="shared" si="24"/>
        <v>1</v>
      </c>
      <c r="AK35" s="90">
        <f t="shared" si="25"/>
        <v>0</v>
      </c>
      <c r="AL35" s="90">
        <f t="shared" si="26"/>
        <v>1.5</v>
      </c>
      <c r="AM35" s="91">
        <f t="shared" si="27"/>
        <v>40.5</v>
      </c>
      <c r="AO35" s="92" t="s">
        <v>107</v>
      </c>
      <c r="AP35" s="92" t="s">
        <v>108</v>
      </c>
      <c r="AQ35" s="92">
        <v>1899405</v>
      </c>
      <c r="AR35" s="41">
        <f t="shared" si="35"/>
        <v>40.5</v>
      </c>
      <c r="AS35" s="36">
        <f t="shared" si="36"/>
        <v>3.3</v>
      </c>
      <c r="AU35" s="2" t="s">
        <v>39</v>
      </c>
      <c r="AV35" s="32"/>
      <c r="AW35" s="32"/>
      <c r="AX35" s="32"/>
      <c r="AY35" s="32"/>
      <c r="AZ35" s="47">
        <f>AX31/AZ32</f>
        <v>0.24489795918367346</v>
      </c>
      <c r="BA35" s="31"/>
    </row>
    <row r="36" spans="2:53" ht="15.6" x14ac:dyDescent="0.3">
      <c r="B36" s="62">
        <v>22</v>
      </c>
      <c r="C36" s="92" t="s">
        <v>109</v>
      </c>
      <c r="D36" s="92" t="s">
        <v>110</v>
      </c>
      <c r="E36" s="92">
        <v>1888070</v>
      </c>
      <c r="F36" s="96">
        <v>2</v>
      </c>
      <c r="G36" s="96">
        <v>0.5</v>
      </c>
      <c r="H36" s="96">
        <v>6</v>
      </c>
      <c r="I36" s="96">
        <v>1</v>
      </c>
      <c r="J36" s="96">
        <v>0</v>
      </c>
      <c r="K36" s="96">
        <v>7</v>
      </c>
      <c r="L36" s="96">
        <v>5</v>
      </c>
      <c r="M36" s="96">
        <v>12</v>
      </c>
      <c r="N36" s="96">
        <v>10</v>
      </c>
      <c r="O36" s="96">
        <v>6</v>
      </c>
      <c r="P36" s="96">
        <v>0</v>
      </c>
      <c r="Q36" s="96">
        <v>1</v>
      </c>
      <c r="R36" s="96">
        <v>1</v>
      </c>
      <c r="S36" s="96">
        <v>1</v>
      </c>
      <c r="T36" s="96">
        <v>0</v>
      </c>
      <c r="U36" s="96">
        <v>1.5</v>
      </c>
      <c r="V36" s="96"/>
      <c r="W36" s="90">
        <f t="shared" si="11"/>
        <v>2</v>
      </c>
      <c r="X36" s="90">
        <f t="shared" si="12"/>
        <v>0.5</v>
      </c>
      <c r="Y36" s="90">
        <f t="shared" si="13"/>
        <v>6</v>
      </c>
      <c r="Z36" s="90">
        <f t="shared" si="14"/>
        <v>1</v>
      </c>
      <c r="AA36" s="90">
        <f t="shared" si="15"/>
        <v>0</v>
      </c>
      <c r="AB36" s="90">
        <f t="shared" si="16"/>
        <v>7</v>
      </c>
      <c r="AC36" s="90">
        <f t="shared" si="17"/>
        <v>5</v>
      </c>
      <c r="AD36" s="90">
        <f t="shared" si="18"/>
        <v>12</v>
      </c>
      <c r="AE36" s="90">
        <f t="shared" si="19"/>
        <v>10</v>
      </c>
      <c r="AF36" s="90">
        <f t="shared" si="20"/>
        <v>6</v>
      </c>
      <c r="AG36" s="90">
        <f t="shared" si="21"/>
        <v>0</v>
      </c>
      <c r="AH36" s="90">
        <f t="shared" si="22"/>
        <v>1</v>
      </c>
      <c r="AI36" s="90">
        <f t="shared" si="23"/>
        <v>1</v>
      </c>
      <c r="AJ36" s="90">
        <f t="shared" si="24"/>
        <v>1</v>
      </c>
      <c r="AK36" s="90">
        <f t="shared" si="25"/>
        <v>0</v>
      </c>
      <c r="AL36" s="90">
        <f t="shared" si="26"/>
        <v>1.5</v>
      </c>
      <c r="AM36" s="91">
        <f t="shared" si="27"/>
        <v>54</v>
      </c>
      <c r="AO36" s="92" t="s">
        <v>109</v>
      </c>
      <c r="AP36" s="92" t="s">
        <v>110</v>
      </c>
      <c r="AQ36" s="92">
        <v>1888070</v>
      </c>
      <c r="AR36" s="41">
        <f t="shared" si="35"/>
        <v>54</v>
      </c>
      <c r="AS36" s="36">
        <f t="shared" si="36"/>
        <v>2.2999999999999998</v>
      </c>
      <c r="AU36" s="31"/>
      <c r="AV36" s="34"/>
      <c r="AW36" s="34"/>
      <c r="AX36" s="34"/>
      <c r="AY36" s="34"/>
      <c r="AZ36" s="34"/>
      <c r="BA36" s="31"/>
    </row>
    <row r="37" spans="2:53" ht="15.6" x14ac:dyDescent="0.3">
      <c r="B37" s="62">
        <v>23</v>
      </c>
      <c r="C37" s="92" t="s">
        <v>111</v>
      </c>
      <c r="D37" s="92" t="s">
        <v>112</v>
      </c>
      <c r="E37" s="92">
        <v>1882586</v>
      </c>
      <c r="F37" s="96">
        <v>2</v>
      </c>
      <c r="G37" s="96">
        <v>1</v>
      </c>
      <c r="H37" s="96">
        <v>6</v>
      </c>
      <c r="I37" s="96">
        <v>1</v>
      </c>
      <c r="J37" s="96">
        <v>6</v>
      </c>
      <c r="K37" s="96">
        <v>7</v>
      </c>
      <c r="L37" s="96">
        <v>5</v>
      </c>
      <c r="M37" s="96">
        <v>12</v>
      </c>
      <c r="N37" s="96">
        <v>10</v>
      </c>
      <c r="O37" s="96">
        <v>12</v>
      </c>
      <c r="P37" s="96">
        <v>1</v>
      </c>
      <c r="Q37" s="96">
        <v>1</v>
      </c>
      <c r="R37" s="96">
        <v>1</v>
      </c>
      <c r="S37" s="96">
        <v>1</v>
      </c>
      <c r="T37" s="96">
        <v>0</v>
      </c>
      <c r="U37" s="96">
        <v>1.5</v>
      </c>
      <c r="V37" s="96"/>
      <c r="W37" s="90">
        <f t="shared" si="11"/>
        <v>2</v>
      </c>
      <c r="X37" s="90">
        <f t="shared" si="12"/>
        <v>1</v>
      </c>
      <c r="Y37" s="90">
        <f t="shared" si="13"/>
        <v>6</v>
      </c>
      <c r="Z37" s="90">
        <f t="shared" si="14"/>
        <v>1</v>
      </c>
      <c r="AA37" s="90">
        <f t="shared" si="15"/>
        <v>6</v>
      </c>
      <c r="AB37" s="90">
        <f t="shared" si="16"/>
        <v>7</v>
      </c>
      <c r="AC37" s="90">
        <f t="shared" si="17"/>
        <v>5</v>
      </c>
      <c r="AD37" s="90">
        <f t="shared" si="18"/>
        <v>12</v>
      </c>
      <c r="AE37" s="90">
        <f t="shared" si="19"/>
        <v>10</v>
      </c>
      <c r="AF37" s="90">
        <f t="shared" si="20"/>
        <v>12</v>
      </c>
      <c r="AG37" s="90">
        <f t="shared" si="21"/>
        <v>1</v>
      </c>
      <c r="AH37" s="90">
        <f t="shared" si="22"/>
        <v>1</v>
      </c>
      <c r="AI37" s="90">
        <f t="shared" si="23"/>
        <v>1</v>
      </c>
      <c r="AJ37" s="90">
        <f t="shared" si="24"/>
        <v>1</v>
      </c>
      <c r="AK37" s="90">
        <f t="shared" si="25"/>
        <v>0</v>
      </c>
      <c r="AL37" s="90">
        <f t="shared" si="26"/>
        <v>1.5</v>
      </c>
      <c r="AM37" s="91">
        <f t="shared" si="27"/>
        <v>67.5</v>
      </c>
      <c r="AO37" s="92" t="s">
        <v>111</v>
      </c>
      <c r="AP37" s="92" t="s">
        <v>112</v>
      </c>
      <c r="AQ37" s="92">
        <v>1882586</v>
      </c>
      <c r="AR37" s="41">
        <f t="shared" si="35"/>
        <v>67.5</v>
      </c>
      <c r="AS37" s="36">
        <f t="shared" si="36"/>
        <v>1</v>
      </c>
      <c r="AU37" s="31"/>
      <c r="AV37" s="34"/>
      <c r="AW37" s="34"/>
      <c r="AX37" s="34"/>
      <c r="AY37" s="34"/>
      <c r="AZ37" s="34"/>
      <c r="BA37" s="31"/>
    </row>
    <row r="38" spans="2:53" ht="15.6" x14ac:dyDescent="0.3">
      <c r="B38" s="62">
        <v>24</v>
      </c>
      <c r="C38" s="92" t="s">
        <v>113</v>
      </c>
      <c r="D38" s="92" t="s">
        <v>114</v>
      </c>
      <c r="E38" s="92">
        <v>1882573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/>
      <c r="W38" s="90">
        <f t="shared" si="11"/>
        <v>0</v>
      </c>
      <c r="X38" s="90">
        <f t="shared" si="12"/>
        <v>0</v>
      </c>
      <c r="Y38" s="90">
        <f t="shared" si="13"/>
        <v>0</v>
      </c>
      <c r="Z38" s="90">
        <f t="shared" si="14"/>
        <v>0</v>
      </c>
      <c r="AA38" s="90">
        <f t="shared" si="15"/>
        <v>0</v>
      </c>
      <c r="AB38" s="90">
        <f t="shared" si="16"/>
        <v>0</v>
      </c>
      <c r="AC38" s="90">
        <f t="shared" si="17"/>
        <v>0</v>
      </c>
      <c r="AD38" s="90">
        <f t="shared" si="18"/>
        <v>0</v>
      </c>
      <c r="AE38" s="90">
        <f t="shared" si="19"/>
        <v>0</v>
      </c>
      <c r="AF38" s="90">
        <f t="shared" si="20"/>
        <v>0</v>
      </c>
      <c r="AG38" s="90">
        <f t="shared" si="21"/>
        <v>0</v>
      </c>
      <c r="AH38" s="90">
        <f t="shared" si="22"/>
        <v>0</v>
      </c>
      <c r="AI38" s="90">
        <f t="shared" si="23"/>
        <v>0</v>
      </c>
      <c r="AJ38" s="90">
        <f t="shared" si="24"/>
        <v>0</v>
      </c>
      <c r="AK38" s="90">
        <f t="shared" si="25"/>
        <v>0</v>
      </c>
      <c r="AL38" s="90">
        <f t="shared" si="26"/>
        <v>0</v>
      </c>
      <c r="AM38" s="91">
        <f>SUM(W38:AL38)</f>
        <v>0</v>
      </c>
      <c r="AO38" s="92" t="s">
        <v>113</v>
      </c>
      <c r="AP38" s="92" t="s">
        <v>114</v>
      </c>
      <c r="AQ38" s="92">
        <v>1882573</v>
      </c>
      <c r="AR38" s="41">
        <f t="shared" si="35"/>
        <v>0</v>
      </c>
      <c r="AS38" s="36">
        <f t="shared" si="36"/>
        <v>5</v>
      </c>
      <c r="AU38" s="31"/>
      <c r="AV38" s="34"/>
      <c r="AW38" s="34"/>
      <c r="AX38" s="34"/>
      <c r="AY38" s="34"/>
      <c r="AZ38" s="34"/>
      <c r="BA38" s="31"/>
    </row>
    <row r="39" spans="2:53" ht="15.6" x14ac:dyDescent="0.3">
      <c r="B39" s="62">
        <v>25</v>
      </c>
      <c r="C39" s="92" t="s">
        <v>57</v>
      </c>
      <c r="D39" s="92" t="s">
        <v>115</v>
      </c>
      <c r="E39" s="92">
        <v>1891821</v>
      </c>
      <c r="F39" s="96">
        <v>2</v>
      </c>
      <c r="G39" s="96">
        <v>1</v>
      </c>
      <c r="H39" s="96">
        <v>4</v>
      </c>
      <c r="I39" s="96">
        <v>0</v>
      </c>
      <c r="J39" s="96">
        <v>0</v>
      </c>
      <c r="K39" s="96">
        <v>0</v>
      </c>
      <c r="L39" s="96">
        <v>2</v>
      </c>
      <c r="M39" s="96">
        <v>3</v>
      </c>
      <c r="N39" s="96">
        <v>4.5</v>
      </c>
      <c r="O39" s="96">
        <v>8</v>
      </c>
      <c r="P39" s="96">
        <v>0</v>
      </c>
      <c r="Q39" s="96">
        <v>1</v>
      </c>
      <c r="R39" s="96">
        <v>0</v>
      </c>
      <c r="S39" s="96">
        <v>0</v>
      </c>
      <c r="T39" s="96">
        <v>1.5</v>
      </c>
      <c r="U39" s="96">
        <v>1.5</v>
      </c>
      <c r="V39" s="96"/>
      <c r="W39" s="90">
        <f t="shared" si="11"/>
        <v>2</v>
      </c>
      <c r="X39" s="90">
        <f t="shared" si="12"/>
        <v>1</v>
      </c>
      <c r="Y39" s="90">
        <f t="shared" si="13"/>
        <v>4</v>
      </c>
      <c r="Z39" s="90">
        <f t="shared" si="14"/>
        <v>0</v>
      </c>
      <c r="AA39" s="90">
        <f t="shared" si="15"/>
        <v>0</v>
      </c>
      <c r="AB39" s="90">
        <f t="shared" si="16"/>
        <v>0</v>
      </c>
      <c r="AC39" s="90">
        <f t="shared" si="17"/>
        <v>2</v>
      </c>
      <c r="AD39" s="90">
        <f t="shared" si="18"/>
        <v>3</v>
      </c>
      <c r="AE39" s="90">
        <f t="shared" si="19"/>
        <v>4.5</v>
      </c>
      <c r="AF39" s="90">
        <f t="shared" si="20"/>
        <v>8</v>
      </c>
      <c r="AG39" s="90">
        <f t="shared" si="21"/>
        <v>0</v>
      </c>
      <c r="AH39" s="90">
        <f t="shared" si="22"/>
        <v>1</v>
      </c>
      <c r="AI39" s="90">
        <f t="shared" si="23"/>
        <v>0</v>
      </c>
      <c r="AJ39" s="90">
        <f t="shared" si="24"/>
        <v>0</v>
      </c>
      <c r="AK39" s="90">
        <f t="shared" si="25"/>
        <v>1.5</v>
      </c>
      <c r="AL39" s="90">
        <f t="shared" si="26"/>
        <v>1.5</v>
      </c>
      <c r="AM39" s="91">
        <f t="shared" si="27"/>
        <v>28.5</v>
      </c>
      <c r="AO39" s="92" t="s">
        <v>57</v>
      </c>
      <c r="AP39" s="92" t="s">
        <v>115</v>
      </c>
      <c r="AQ39" s="92">
        <v>1891821</v>
      </c>
      <c r="AR39" s="41">
        <f t="shared" si="35"/>
        <v>28.5</v>
      </c>
      <c r="AS39" s="36">
        <f t="shared" si="36"/>
        <v>5</v>
      </c>
    </row>
    <row r="40" spans="2:53" ht="15.6" x14ac:dyDescent="0.3">
      <c r="B40" s="62">
        <v>26</v>
      </c>
      <c r="C40" s="92" t="s">
        <v>116</v>
      </c>
      <c r="D40" s="92" t="s">
        <v>117</v>
      </c>
      <c r="E40" s="92">
        <v>1913130</v>
      </c>
      <c r="F40" s="96">
        <v>2</v>
      </c>
      <c r="G40" s="96">
        <v>0.5</v>
      </c>
      <c r="H40" s="96">
        <v>6</v>
      </c>
      <c r="I40" s="96">
        <v>1</v>
      </c>
      <c r="J40" s="96">
        <v>6</v>
      </c>
      <c r="K40" s="96">
        <v>7</v>
      </c>
      <c r="L40" s="96">
        <v>3</v>
      </c>
      <c r="M40" s="96">
        <v>2</v>
      </c>
      <c r="N40" s="96">
        <v>10</v>
      </c>
      <c r="O40" s="96">
        <v>9</v>
      </c>
      <c r="P40" s="96">
        <v>1</v>
      </c>
      <c r="Q40" s="96">
        <v>0</v>
      </c>
      <c r="R40" s="96">
        <v>0</v>
      </c>
      <c r="S40" s="96">
        <v>0</v>
      </c>
      <c r="T40" s="96">
        <v>1.5</v>
      </c>
      <c r="U40" s="96">
        <v>1.5</v>
      </c>
      <c r="V40" s="96"/>
      <c r="W40" s="90">
        <f t="shared" ref="W40:W44" si="37">F40*F$4</f>
        <v>2</v>
      </c>
      <c r="X40" s="90">
        <f t="shared" ref="X40:X44" si="38">G40*G$4</f>
        <v>0.5</v>
      </c>
      <c r="Y40" s="90">
        <f t="shared" ref="Y40:Y44" si="39">H40*H$4</f>
        <v>6</v>
      </c>
      <c r="Z40" s="90">
        <f t="shared" ref="Z40:Z44" si="40">I40*I$4</f>
        <v>1</v>
      </c>
      <c r="AA40" s="90">
        <f t="shared" ref="AA40:AA44" si="41">J40*J$4</f>
        <v>6</v>
      </c>
      <c r="AB40" s="90">
        <f t="shared" ref="AB40:AB44" si="42">K40*K$4</f>
        <v>7</v>
      </c>
      <c r="AC40" s="90">
        <f t="shared" ref="AC40:AC44" si="43">L40*L$4</f>
        <v>3</v>
      </c>
      <c r="AD40" s="90">
        <f t="shared" ref="AD40:AD44" si="44">M40*M$4</f>
        <v>2</v>
      </c>
      <c r="AE40" s="90">
        <f t="shared" ref="AE40:AE44" si="45">N40*N$4</f>
        <v>10</v>
      </c>
      <c r="AF40" s="90">
        <f t="shared" ref="AF40:AF44" si="46">O40*O$4</f>
        <v>9</v>
      </c>
      <c r="AG40" s="90">
        <f t="shared" ref="AG40:AG44" si="47">P40*P$4</f>
        <v>1</v>
      </c>
      <c r="AH40" s="90">
        <f t="shared" ref="AH40:AH44" si="48">Q40*Q$4</f>
        <v>0</v>
      </c>
      <c r="AI40" s="90">
        <f t="shared" ref="AI40:AI44" si="49">R40*R$4</f>
        <v>0</v>
      </c>
      <c r="AJ40" s="90">
        <f t="shared" ref="AJ40:AJ44" si="50">S40*S$4</f>
        <v>0</v>
      </c>
      <c r="AK40" s="90">
        <f t="shared" ref="AK40:AK44" si="51">T40*T$4</f>
        <v>1.5</v>
      </c>
      <c r="AL40" s="90">
        <f t="shared" ref="AL40:AL44" si="52">U40*U$4</f>
        <v>1.5</v>
      </c>
      <c r="AM40" s="91">
        <f t="shared" ref="AM40:AM44" si="53">SUM(W40:AL40)</f>
        <v>50.5</v>
      </c>
      <c r="AO40" s="92" t="s">
        <v>116</v>
      </c>
      <c r="AP40" s="92" t="s">
        <v>117</v>
      </c>
      <c r="AQ40" s="92">
        <v>1913130</v>
      </c>
      <c r="AR40" s="41">
        <f t="shared" si="35"/>
        <v>50.5</v>
      </c>
      <c r="AS40" s="36">
        <f t="shared" si="36"/>
        <v>2.7</v>
      </c>
    </row>
    <row r="41" spans="2:53" ht="15.6" x14ac:dyDescent="0.3">
      <c r="B41" s="62">
        <v>27</v>
      </c>
      <c r="C41" s="92" t="s">
        <v>118</v>
      </c>
      <c r="D41" s="92" t="s">
        <v>119</v>
      </c>
      <c r="E41" s="92">
        <v>1762833</v>
      </c>
      <c r="F41" s="96">
        <v>1</v>
      </c>
      <c r="G41" s="96">
        <v>1</v>
      </c>
      <c r="H41" s="96">
        <v>3</v>
      </c>
      <c r="I41" s="96">
        <v>0</v>
      </c>
      <c r="J41" s="96">
        <v>6</v>
      </c>
      <c r="K41" s="96">
        <v>3</v>
      </c>
      <c r="L41" s="96">
        <v>5</v>
      </c>
      <c r="M41" s="96">
        <v>8</v>
      </c>
      <c r="N41" s="96">
        <v>10</v>
      </c>
      <c r="O41" s="96">
        <v>6</v>
      </c>
      <c r="P41" s="96">
        <v>0</v>
      </c>
      <c r="Q41" s="96">
        <v>1</v>
      </c>
      <c r="R41" s="96">
        <v>1</v>
      </c>
      <c r="S41" s="96">
        <v>1</v>
      </c>
      <c r="T41" s="96">
        <v>1.5</v>
      </c>
      <c r="U41" s="96">
        <v>1.5</v>
      </c>
      <c r="V41" s="96"/>
      <c r="W41" s="90">
        <f t="shared" si="37"/>
        <v>1</v>
      </c>
      <c r="X41" s="90">
        <f t="shared" si="38"/>
        <v>1</v>
      </c>
      <c r="Y41" s="90">
        <f t="shared" si="39"/>
        <v>3</v>
      </c>
      <c r="Z41" s="90">
        <f t="shared" si="40"/>
        <v>0</v>
      </c>
      <c r="AA41" s="90">
        <f t="shared" si="41"/>
        <v>6</v>
      </c>
      <c r="AB41" s="90">
        <f t="shared" si="42"/>
        <v>3</v>
      </c>
      <c r="AC41" s="90">
        <f t="shared" si="43"/>
        <v>5</v>
      </c>
      <c r="AD41" s="90">
        <f t="shared" si="44"/>
        <v>8</v>
      </c>
      <c r="AE41" s="90">
        <f t="shared" si="45"/>
        <v>10</v>
      </c>
      <c r="AF41" s="90">
        <f t="shared" si="46"/>
        <v>6</v>
      </c>
      <c r="AG41" s="90">
        <f t="shared" si="47"/>
        <v>0</v>
      </c>
      <c r="AH41" s="90">
        <f t="shared" si="48"/>
        <v>1</v>
      </c>
      <c r="AI41" s="90">
        <f t="shared" si="49"/>
        <v>1</v>
      </c>
      <c r="AJ41" s="90">
        <f t="shared" si="50"/>
        <v>1</v>
      </c>
      <c r="AK41" s="90">
        <f t="shared" si="51"/>
        <v>1.5</v>
      </c>
      <c r="AL41" s="90">
        <f t="shared" si="52"/>
        <v>1.5</v>
      </c>
      <c r="AM41" s="91">
        <f t="shared" si="53"/>
        <v>49</v>
      </c>
      <c r="AO41" s="92" t="s">
        <v>118</v>
      </c>
      <c r="AP41" s="92" t="s">
        <v>119</v>
      </c>
      <c r="AQ41" s="92">
        <v>1762833</v>
      </c>
      <c r="AR41" s="41">
        <f t="shared" si="35"/>
        <v>49</v>
      </c>
      <c r="AS41" s="36">
        <f t="shared" si="36"/>
        <v>2.7</v>
      </c>
    </row>
    <row r="42" spans="2:53" ht="15.6" x14ac:dyDescent="0.3">
      <c r="B42" s="62">
        <v>28</v>
      </c>
      <c r="C42" s="92" t="s">
        <v>120</v>
      </c>
      <c r="D42" s="92" t="s">
        <v>115</v>
      </c>
      <c r="E42" s="92">
        <v>1882528</v>
      </c>
      <c r="F42" s="96">
        <v>0.5</v>
      </c>
      <c r="G42" s="96">
        <v>0.5</v>
      </c>
      <c r="H42" s="96">
        <v>6</v>
      </c>
      <c r="I42" s="96">
        <v>0</v>
      </c>
      <c r="J42" s="96">
        <v>6</v>
      </c>
      <c r="K42" s="96">
        <v>7</v>
      </c>
      <c r="L42" s="96">
        <v>5</v>
      </c>
      <c r="M42" s="96">
        <v>6</v>
      </c>
      <c r="N42" s="96">
        <v>10</v>
      </c>
      <c r="O42" s="96">
        <v>12</v>
      </c>
      <c r="P42" s="96">
        <v>1</v>
      </c>
      <c r="Q42" s="96">
        <v>0</v>
      </c>
      <c r="R42" s="96">
        <v>1</v>
      </c>
      <c r="S42" s="96">
        <v>1</v>
      </c>
      <c r="T42" s="96">
        <v>0</v>
      </c>
      <c r="U42" s="96">
        <v>1.5</v>
      </c>
      <c r="V42" s="96"/>
      <c r="W42" s="90">
        <f t="shared" si="37"/>
        <v>0.5</v>
      </c>
      <c r="X42" s="90">
        <f t="shared" si="38"/>
        <v>0.5</v>
      </c>
      <c r="Y42" s="90">
        <f t="shared" si="39"/>
        <v>6</v>
      </c>
      <c r="Z42" s="90">
        <f t="shared" si="40"/>
        <v>0</v>
      </c>
      <c r="AA42" s="90">
        <f t="shared" si="41"/>
        <v>6</v>
      </c>
      <c r="AB42" s="90">
        <f t="shared" si="42"/>
        <v>7</v>
      </c>
      <c r="AC42" s="90">
        <f t="shared" si="43"/>
        <v>5</v>
      </c>
      <c r="AD42" s="90">
        <f t="shared" si="44"/>
        <v>6</v>
      </c>
      <c r="AE42" s="90">
        <f t="shared" si="45"/>
        <v>10</v>
      </c>
      <c r="AF42" s="90">
        <f t="shared" si="46"/>
        <v>12</v>
      </c>
      <c r="AG42" s="90">
        <f t="shared" si="47"/>
        <v>1</v>
      </c>
      <c r="AH42" s="90">
        <f t="shared" si="48"/>
        <v>0</v>
      </c>
      <c r="AI42" s="90">
        <f t="shared" si="49"/>
        <v>1</v>
      </c>
      <c r="AJ42" s="90">
        <f t="shared" si="50"/>
        <v>1</v>
      </c>
      <c r="AK42" s="90">
        <f t="shared" si="51"/>
        <v>0</v>
      </c>
      <c r="AL42" s="90">
        <f t="shared" si="52"/>
        <v>1.5</v>
      </c>
      <c r="AM42" s="91">
        <f t="shared" si="53"/>
        <v>57.5</v>
      </c>
      <c r="AO42" s="92" t="s">
        <v>120</v>
      </c>
      <c r="AP42" s="92" t="s">
        <v>115</v>
      </c>
      <c r="AQ42" s="92">
        <v>1882528</v>
      </c>
      <c r="AR42" s="41">
        <f t="shared" si="35"/>
        <v>57.5</v>
      </c>
      <c r="AS42" s="36">
        <f t="shared" si="36"/>
        <v>2</v>
      </c>
    </row>
    <row r="43" spans="2:53" ht="15.6" x14ac:dyDescent="0.3">
      <c r="B43" s="62">
        <v>29</v>
      </c>
      <c r="C43" s="92" t="s">
        <v>121</v>
      </c>
      <c r="D43" s="92" t="s">
        <v>122</v>
      </c>
      <c r="E43" s="92">
        <v>1895324</v>
      </c>
      <c r="F43" s="96">
        <v>0</v>
      </c>
      <c r="G43" s="96">
        <v>0</v>
      </c>
      <c r="H43" s="96">
        <v>0</v>
      </c>
      <c r="I43" s="96">
        <v>0</v>
      </c>
      <c r="J43" s="96">
        <v>0</v>
      </c>
      <c r="K43" s="96">
        <v>0</v>
      </c>
      <c r="L43" s="96">
        <v>0</v>
      </c>
      <c r="M43" s="96">
        <v>0</v>
      </c>
      <c r="N43" s="96">
        <v>0</v>
      </c>
      <c r="O43" s="96">
        <v>3</v>
      </c>
      <c r="P43" s="96">
        <v>1</v>
      </c>
      <c r="Q43" s="96">
        <v>0</v>
      </c>
      <c r="R43" s="96">
        <v>1</v>
      </c>
      <c r="S43" s="96">
        <v>1</v>
      </c>
      <c r="T43" s="96">
        <v>1.5</v>
      </c>
      <c r="U43" s="96">
        <v>0</v>
      </c>
      <c r="V43" s="96"/>
      <c r="W43" s="90">
        <f t="shared" si="37"/>
        <v>0</v>
      </c>
      <c r="X43" s="90">
        <f t="shared" si="38"/>
        <v>0</v>
      </c>
      <c r="Y43" s="90">
        <f t="shared" si="39"/>
        <v>0</v>
      </c>
      <c r="Z43" s="90">
        <f t="shared" si="40"/>
        <v>0</v>
      </c>
      <c r="AA43" s="90">
        <f t="shared" si="41"/>
        <v>0</v>
      </c>
      <c r="AB43" s="90">
        <f t="shared" si="42"/>
        <v>0</v>
      </c>
      <c r="AC43" s="90">
        <f t="shared" si="43"/>
        <v>0</v>
      </c>
      <c r="AD43" s="90">
        <f t="shared" si="44"/>
        <v>0</v>
      </c>
      <c r="AE43" s="90">
        <f t="shared" si="45"/>
        <v>0</v>
      </c>
      <c r="AF43" s="90">
        <f t="shared" si="46"/>
        <v>3</v>
      </c>
      <c r="AG43" s="90">
        <f t="shared" si="47"/>
        <v>1</v>
      </c>
      <c r="AH43" s="90">
        <f t="shared" si="48"/>
        <v>0</v>
      </c>
      <c r="AI43" s="90">
        <f t="shared" si="49"/>
        <v>1</v>
      </c>
      <c r="AJ43" s="90">
        <f t="shared" si="50"/>
        <v>1</v>
      </c>
      <c r="AK43" s="90">
        <f t="shared" si="51"/>
        <v>1.5</v>
      </c>
      <c r="AL43" s="90">
        <f t="shared" si="52"/>
        <v>0</v>
      </c>
      <c r="AM43" s="91">
        <f t="shared" si="53"/>
        <v>7.5</v>
      </c>
      <c r="AO43" s="92" t="s">
        <v>121</v>
      </c>
      <c r="AP43" s="92" t="s">
        <v>122</v>
      </c>
      <c r="AQ43" s="92">
        <v>1895324</v>
      </c>
      <c r="AR43" s="41">
        <f t="shared" si="35"/>
        <v>7.5</v>
      </c>
      <c r="AS43" s="36">
        <f t="shared" si="36"/>
        <v>5</v>
      </c>
    </row>
    <row r="44" spans="2:53" ht="15.6" x14ac:dyDescent="0.3">
      <c r="B44" s="62">
        <v>30</v>
      </c>
      <c r="C44" s="92" t="s">
        <v>123</v>
      </c>
      <c r="D44" s="92" t="s">
        <v>124</v>
      </c>
      <c r="E44" s="92">
        <v>1643091</v>
      </c>
      <c r="F44" s="96">
        <v>0</v>
      </c>
      <c r="G44" s="96">
        <v>1</v>
      </c>
      <c r="H44" s="96">
        <v>4</v>
      </c>
      <c r="I44" s="96">
        <v>2</v>
      </c>
      <c r="J44" s="96">
        <v>3</v>
      </c>
      <c r="K44" s="96">
        <v>7</v>
      </c>
      <c r="L44" s="96">
        <v>5</v>
      </c>
      <c r="M44" s="96">
        <v>6</v>
      </c>
      <c r="N44" s="96">
        <v>10</v>
      </c>
      <c r="O44" s="96">
        <v>0</v>
      </c>
      <c r="P44" s="96">
        <v>1</v>
      </c>
      <c r="Q44" s="96">
        <v>1</v>
      </c>
      <c r="R44" s="96">
        <v>0</v>
      </c>
      <c r="S44" s="96">
        <v>1</v>
      </c>
      <c r="T44" s="96">
        <v>0</v>
      </c>
      <c r="U44" s="96">
        <v>1.5</v>
      </c>
      <c r="V44" s="96"/>
      <c r="W44" s="90">
        <f t="shared" si="37"/>
        <v>0</v>
      </c>
      <c r="X44" s="90">
        <f t="shared" si="38"/>
        <v>1</v>
      </c>
      <c r="Y44" s="90">
        <f t="shared" si="39"/>
        <v>4</v>
      </c>
      <c r="Z44" s="90">
        <f t="shared" si="40"/>
        <v>2</v>
      </c>
      <c r="AA44" s="90">
        <f t="shared" si="41"/>
        <v>3</v>
      </c>
      <c r="AB44" s="90">
        <f t="shared" si="42"/>
        <v>7</v>
      </c>
      <c r="AC44" s="90">
        <f t="shared" si="43"/>
        <v>5</v>
      </c>
      <c r="AD44" s="90">
        <f t="shared" si="44"/>
        <v>6</v>
      </c>
      <c r="AE44" s="90">
        <f t="shared" si="45"/>
        <v>10</v>
      </c>
      <c r="AF44" s="90">
        <f t="shared" si="46"/>
        <v>0</v>
      </c>
      <c r="AG44" s="90">
        <f t="shared" si="47"/>
        <v>1</v>
      </c>
      <c r="AH44" s="90">
        <f t="shared" si="48"/>
        <v>1</v>
      </c>
      <c r="AI44" s="90">
        <f t="shared" si="49"/>
        <v>0</v>
      </c>
      <c r="AJ44" s="90">
        <f t="shared" si="50"/>
        <v>1</v>
      </c>
      <c r="AK44" s="90">
        <f t="shared" si="51"/>
        <v>0</v>
      </c>
      <c r="AL44" s="90">
        <f t="shared" si="52"/>
        <v>1.5</v>
      </c>
      <c r="AM44" s="91">
        <f t="shared" si="53"/>
        <v>42.5</v>
      </c>
      <c r="AO44" s="92" t="s">
        <v>123</v>
      </c>
      <c r="AP44" s="92" t="s">
        <v>124</v>
      </c>
      <c r="AQ44" s="92">
        <v>1643091</v>
      </c>
      <c r="AR44" s="41">
        <f t="shared" si="35"/>
        <v>42.5</v>
      </c>
      <c r="AS44" s="36">
        <f t="shared" si="36"/>
        <v>3</v>
      </c>
    </row>
    <row r="45" spans="2:53" ht="15.6" x14ac:dyDescent="0.3">
      <c r="B45" s="62">
        <v>31</v>
      </c>
      <c r="C45" s="92" t="s">
        <v>125</v>
      </c>
      <c r="D45" s="92" t="s">
        <v>126</v>
      </c>
      <c r="E45" s="92">
        <v>1882544</v>
      </c>
      <c r="F45" s="96">
        <v>2</v>
      </c>
      <c r="G45" s="96">
        <v>0.5</v>
      </c>
      <c r="H45" s="96">
        <v>0</v>
      </c>
      <c r="I45" s="96">
        <v>1</v>
      </c>
      <c r="J45" s="96">
        <v>0</v>
      </c>
      <c r="K45" s="96">
        <v>6</v>
      </c>
      <c r="L45" s="96">
        <v>1.5</v>
      </c>
      <c r="M45" s="96">
        <v>7</v>
      </c>
      <c r="N45" s="96">
        <v>10</v>
      </c>
      <c r="O45" s="96">
        <v>12</v>
      </c>
      <c r="P45" s="96">
        <v>1</v>
      </c>
      <c r="Q45" s="96">
        <v>1</v>
      </c>
      <c r="R45" s="96">
        <v>0</v>
      </c>
      <c r="S45" s="96">
        <v>1</v>
      </c>
      <c r="T45" s="96">
        <v>0</v>
      </c>
      <c r="U45" s="96">
        <v>0</v>
      </c>
      <c r="V45" s="96"/>
      <c r="W45" s="90">
        <f t="shared" si="11"/>
        <v>2</v>
      </c>
      <c r="X45" s="90">
        <f t="shared" si="12"/>
        <v>0.5</v>
      </c>
      <c r="Y45" s="90">
        <f t="shared" si="13"/>
        <v>0</v>
      </c>
      <c r="Z45" s="90">
        <f t="shared" si="14"/>
        <v>1</v>
      </c>
      <c r="AA45" s="90">
        <f t="shared" si="15"/>
        <v>0</v>
      </c>
      <c r="AB45" s="90">
        <f t="shared" si="16"/>
        <v>6</v>
      </c>
      <c r="AC45" s="90">
        <f t="shared" si="17"/>
        <v>1.5</v>
      </c>
      <c r="AD45" s="90">
        <f t="shared" si="18"/>
        <v>7</v>
      </c>
      <c r="AE45" s="90">
        <f t="shared" si="19"/>
        <v>10</v>
      </c>
      <c r="AF45" s="90">
        <f t="shared" si="20"/>
        <v>12</v>
      </c>
      <c r="AG45" s="90">
        <f t="shared" si="21"/>
        <v>1</v>
      </c>
      <c r="AH45" s="90">
        <f t="shared" si="22"/>
        <v>1</v>
      </c>
      <c r="AI45" s="90">
        <f t="shared" si="23"/>
        <v>0</v>
      </c>
      <c r="AJ45" s="90">
        <f t="shared" si="24"/>
        <v>1</v>
      </c>
      <c r="AK45" s="90">
        <f t="shared" si="25"/>
        <v>0</v>
      </c>
      <c r="AL45" s="90">
        <f t="shared" si="26"/>
        <v>0</v>
      </c>
      <c r="AM45" s="91">
        <f t="shared" si="27"/>
        <v>43</v>
      </c>
      <c r="AO45" s="92" t="s">
        <v>125</v>
      </c>
      <c r="AP45" s="92" t="s">
        <v>126</v>
      </c>
      <c r="AQ45" s="92">
        <v>1882544</v>
      </c>
      <c r="AR45" s="41">
        <f t="shared" si="35"/>
        <v>43</v>
      </c>
      <c r="AS45" s="36">
        <f t="shared" si="36"/>
        <v>3</v>
      </c>
    </row>
    <row r="46" spans="2:53" ht="15.6" x14ac:dyDescent="0.3">
      <c r="B46" s="62">
        <v>32</v>
      </c>
      <c r="C46" s="92" t="s">
        <v>127</v>
      </c>
      <c r="D46" s="92" t="s">
        <v>107</v>
      </c>
      <c r="E46" s="92">
        <v>1895379</v>
      </c>
      <c r="F46" s="96">
        <v>2</v>
      </c>
      <c r="G46" s="96">
        <v>0</v>
      </c>
      <c r="H46" s="96">
        <v>6</v>
      </c>
      <c r="I46" s="96">
        <v>2</v>
      </c>
      <c r="J46" s="96">
        <v>6</v>
      </c>
      <c r="K46" s="96">
        <v>4</v>
      </c>
      <c r="L46" s="96">
        <v>5</v>
      </c>
      <c r="M46" s="96">
        <v>6</v>
      </c>
      <c r="N46" s="96">
        <v>10</v>
      </c>
      <c r="O46" s="96">
        <v>12</v>
      </c>
      <c r="P46" s="96">
        <v>1</v>
      </c>
      <c r="Q46" s="96">
        <v>0</v>
      </c>
      <c r="R46" s="96">
        <v>0</v>
      </c>
      <c r="S46" s="96">
        <v>1</v>
      </c>
      <c r="T46" s="96">
        <v>0</v>
      </c>
      <c r="U46" s="96">
        <v>1.5</v>
      </c>
      <c r="V46" s="96"/>
      <c r="W46" s="90">
        <f t="shared" si="11"/>
        <v>2</v>
      </c>
      <c r="X46" s="90">
        <f t="shared" si="12"/>
        <v>0</v>
      </c>
      <c r="Y46" s="90">
        <f t="shared" si="13"/>
        <v>6</v>
      </c>
      <c r="Z46" s="90">
        <f t="shared" si="14"/>
        <v>2</v>
      </c>
      <c r="AA46" s="90">
        <f t="shared" si="15"/>
        <v>6</v>
      </c>
      <c r="AB46" s="90">
        <f t="shared" si="16"/>
        <v>4</v>
      </c>
      <c r="AC46" s="90">
        <f t="shared" si="17"/>
        <v>5</v>
      </c>
      <c r="AD46" s="90">
        <f t="shared" si="18"/>
        <v>6</v>
      </c>
      <c r="AE46" s="90">
        <f t="shared" si="19"/>
        <v>10</v>
      </c>
      <c r="AF46" s="90">
        <f t="shared" si="20"/>
        <v>12</v>
      </c>
      <c r="AG46" s="90">
        <f t="shared" si="21"/>
        <v>1</v>
      </c>
      <c r="AH46" s="90">
        <f t="shared" si="22"/>
        <v>0</v>
      </c>
      <c r="AI46" s="90">
        <f t="shared" si="23"/>
        <v>0</v>
      </c>
      <c r="AJ46" s="90">
        <f t="shared" si="24"/>
        <v>1</v>
      </c>
      <c r="AK46" s="90">
        <f t="shared" si="25"/>
        <v>0</v>
      </c>
      <c r="AL46" s="90">
        <f t="shared" si="26"/>
        <v>1.5</v>
      </c>
      <c r="AM46" s="91">
        <f t="shared" si="27"/>
        <v>56.5</v>
      </c>
      <c r="AO46" s="92" t="s">
        <v>127</v>
      </c>
      <c r="AP46" s="92" t="s">
        <v>107</v>
      </c>
      <c r="AQ46" s="92">
        <v>1895379</v>
      </c>
      <c r="AR46" s="41">
        <f t="shared" si="35"/>
        <v>56.5</v>
      </c>
      <c r="AS46" s="36">
        <f t="shared" si="36"/>
        <v>2</v>
      </c>
    </row>
    <row r="47" spans="2:53" ht="15.6" x14ac:dyDescent="0.3">
      <c r="B47" s="62">
        <v>33</v>
      </c>
      <c r="C47" s="92" t="s">
        <v>128</v>
      </c>
      <c r="D47" s="92" t="s">
        <v>59</v>
      </c>
      <c r="E47" s="92">
        <v>1891850</v>
      </c>
      <c r="F47" s="96">
        <v>2</v>
      </c>
      <c r="G47" s="96">
        <v>0</v>
      </c>
      <c r="H47" s="96">
        <v>6</v>
      </c>
      <c r="I47" s="96">
        <v>0</v>
      </c>
      <c r="J47" s="96">
        <v>0</v>
      </c>
      <c r="K47" s="96">
        <v>0</v>
      </c>
      <c r="L47" s="96">
        <v>2</v>
      </c>
      <c r="M47" s="96">
        <v>0</v>
      </c>
      <c r="N47" s="96">
        <v>0</v>
      </c>
      <c r="O47" s="96">
        <v>0</v>
      </c>
      <c r="P47" s="96">
        <v>0</v>
      </c>
      <c r="Q47" s="96">
        <v>0</v>
      </c>
      <c r="R47" s="96">
        <v>1</v>
      </c>
      <c r="S47" s="96">
        <v>1</v>
      </c>
      <c r="T47" s="96">
        <v>0</v>
      </c>
      <c r="U47" s="96">
        <v>0</v>
      </c>
      <c r="V47" s="96"/>
      <c r="W47" s="90">
        <f t="shared" si="11"/>
        <v>2</v>
      </c>
      <c r="X47" s="90">
        <f t="shared" si="12"/>
        <v>0</v>
      </c>
      <c r="Y47" s="90">
        <f t="shared" si="13"/>
        <v>6</v>
      </c>
      <c r="Z47" s="90">
        <f t="shared" si="14"/>
        <v>0</v>
      </c>
      <c r="AA47" s="90">
        <f t="shared" si="15"/>
        <v>0</v>
      </c>
      <c r="AB47" s="90">
        <f t="shared" si="16"/>
        <v>0</v>
      </c>
      <c r="AC47" s="90">
        <f t="shared" si="17"/>
        <v>2</v>
      </c>
      <c r="AD47" s="90">
        <f t="shared" si="18"/>
        <v>0</v>
      </c>
      <c r="AE47" s="90">
        <f t="shared" si="19"/>
        <v>0</v>
      </c>
      <c r="AF47" s="90">
        <f t="shared" si="20"/>
        <v>0</v>
      </c>
      <c r="AG47" s="90">
        <f t="shared" si="21"/>
        <v>0</v>
      </c>
      <c r="AH47" s="90">
        <f t="shared" si="22"/>
        <v>0</v>
      </c>
      <c r="AI47" s="90">
        <f t="shared" si="23"/>
        <v>1</v>
      </c>
      <c r="AJ47" s="90">
        <f t="shared" si="24"/>
        <v>1</v>
      </c>
      <c r="AK47" s="90">
        <f t="shared" si="25"/>
        <v>0</v>
      </c>
      <c r="AL47" s="90">
        <f t="shared" si="26"/>
        <v>0</v>
      </c>
      <c r="AM47" s="91">
        <f t="shared" si="27"/>
        <v>12</v>
      </c>
      <c r="AO47" s="92" t="s">
        <v>128</v>
      </c>
      <c r="AP47" s="92" t="s">
        <v>59</v>
      </c>
      <c r="AQ47" s="92">
        <v>1891850</v>
      </c>
      <c r="AR47" s="41">
        <f t="shared" si="35"/>
        <v>12</v>
      </c>
      <c r="AS47" s="36">
        <f t="shared" si="36"/>
        <v>5</v>
      </c>
    </row>
    <row r="48" spans="2:53" ht="15.6" x14ac:dyDescent="0.3">
      <c r="B48" s="62">
        <v>34</v>
      </c>
      <c r="C48" s="92" t="s">
        <v>58</v>
      </c>
      <c r="D48" s="92" t="s">
        <v>129</v>
      </c>
      <c r="E48" s="92">
        <v>1902367</v>
      </c>
      <c r="F48" s="96">
        <v>1</v>
      </c>
      <c r="G48" s="96">
        <v>1</v>
      </c>
      <c r="H48" s="96">
        <v>6</v>
      </c>
      <c r="I48" s="96">
        <v>1</v>
      </c>
      <c r="J48" s="96">
        <v>6</v>
      </c>
      <c r="K48" s="96">
        <v>7</v>
      </c>
      <c r="L48" s="96">
        <v>5</v>
      </c>
      <c r="M48" s="96">
        <v>11</v>
      </c>
      <c r="N48" s="96">
        <v>10</v>
      </c>
      <c r="O48" s="96">
        <v>12</v>
      </c>
      <c r="P48" s="96">
        <v>1</v>
      </c>
      <c r="Q48" s="96">
        <v>0</v>
      </c>
      <c r="R48" s="96">
        <v>1</v>
      </c>
      <c r="S48" s="96">
        <v>1</v>
      </c>
      <c r="T48" s="96">
        <v>0</v>
      </c>
      <c r="U48" s="96">
        <v>0</v>
      </c>
      <c r="V48" s="96"/>
      <c r="W48" s="90">
        <f t="shared" si="11"/>
        <v>1</v>
      </c>
      <c r="X48" s="90">
        <f t="shared" si="12"/>
        <v>1</v>
      </c>
      <c r="Y48" s="90">
        <f t="shared" si="13"/>
        <v>6</v>
      </c>
      <c r="Z48" s="90">
        <f t="shared" si="14"/>
        <v>1</v>
      </c>
      <c r="AA48" s="90">
        <f t="shared" si="15"/>
        <v>6</v>
      </c>
      <c r="AB48" s="90">
        <f t="shared" si="16"/>
        <v>7</v>
      </c>
      <c r="AC48" s="90">
        <f t="shared" si="17"/>
        <v>5</v>
      </c>
      <c r="AD48" s="90">
        <f t="shared" si="18"/>
        <v>11</v>
      </c>
      <c r="AE48" s="90">
        <f t="shared" si="19"/>
        <v>10</v>
      </c>
      <c r="AF48" s="90">
        <f t="shared" si="20"/>
        <v>12</v>
      </c>
      <c r="AG48" s="90">
        <f t="shared" si="21"/>
        <v>1</v>
      </c>
      <c r="AH48" s="90">
        <f t="shared" si="22"/>
        <v>0</v>
      </c>
      <c r="AI48" s="90">
        <f t="shared" si="23"/>
        <v>1</v>
      </c>
      <c r="AJ48" s="90">
        <f t="shared" si="24"/>
        <v>1</v>
      </c>
      <c r="AK48" s="90">
        <f t="shared" si="25"/>
        <v>0</v>
      </c>
      <c r="AL48" s="90">
        <f t="shared" si="26"/>
        <v>0</v>
      </c>
      <c r="AM48" s="91">
        <f t="shared" si="27"/>
        <v>63</v>
      </c>
      <c r="AO48" s="92" t="s">
        <v>58</v>
      </c>
      <c r="AP48" s="92" t="s">
        <v>129</v>
      </c>
      <c r="AQ48" s="92">
        <v>1902367</v>
      </c>
      <c r="AR48" s="41">
        <f t="shared" si="35"/>
        <v>63</v>
      </c>
      <c r="AS48" s="36">
        <f t="shared" si="36"/>
        <v>1.7</v>
      </c>
    </row>
    <row r="49" spans="1:53" ht="15.6" x14ac:dyDescent="0.3">
      <c r="B49" s="62">
        <v>35</v>
      </c>
      <c r="C49" s="92" t="s">
        <v>130</v>
      </c>
      <c r="D49" s="92" t="s">
        <v>131</v>
      </c>
      <c r="E49" s="92">
        <v>1896941</v>
      </c>
      <c r="F49" s="96">
        <v>0</v>
      </c>
      <c r="G49" s="96">
        <v>0.5</v>
      </c>
      <c r="H49" s="96">
        <v>6</v>
      </c>
      <c r="I49" s="96">
        <v>1</v>
      </c>
      <c r="J49" s="96">
        <v>6</v>
      </c>
      <c r="K49" s="96">
        <v>7</v>
      </c>
      <c r="L49" s="96">
        <v>5</v>
      </c>
      <c r="M49" s="96">
        <v>1</v>
      </c>
      <c r="N49" s="96">
        <v>10</v>
      </c>
      <c r="O49" s="96">
        <v>6</v>
      </c>
      <c r="P49" s="96">
        <v>1</v>
      </c>
      <c r="Q49" s="96">
        <v>1</v>
      </c>
      <c r="R49" s="96">
        <v>1</v>
      </c>
      <c r="S49" s="96">
        <v>1</v>
      </c>
      <c r="T49" s="96">
        <v>0</v>
      </c>
      <c r="U49" s="96">
        <v>1.5</v>
      </c>
      <c r="V49" s="96"/>
      <c r="W49" s="90">
        <f t="shared" si="11"/>
        <v>0</v>
      </c>
      <c r="X49" s="90">
        <f t="shared" si="12"/>
        <v>0.5</v>
      </c>
      <c r="Y49" s="90">
        <f t="shared" si="13"/>
        <v>6</v>
      </c>
      <c r="Z49" s="90">
        <f t="shared" si="14"/>
        <v>1</v>
      </c>
      <c r="AA49" s="90">
        <f t="shared" si="15"/>
        <v>6</v>
      </c>
      <c r="AB49" s="90">
        <f t="shared" si="16"/>
        <v>7</v>
      </c>
      <c r="AC49" s="90">
        <f t="shared" si="17"/>
        <v>5</v>
      </c>
      <c r="AD49" s="90">
        <f t="shared" si="18"/>
        <v>1</v>
      </c>
      <c r="AE49" s="90">
        <f t="shared" si="19"/>
        <v>10</v>
      </c>
      <c r="AF49" s="90">
        <f t="shared" si="20"/>
        <v>6</v>
      </c>
      <c r="AG49" s="90">
        <f t="shared" si="21"/>
        <v>1</v>
      </c>
      <c r="AH49" s="90">
        <f t="shared" si="22"/>
        <v>1</v>
      </c>
      <c r="AI49" s="90">
        <f t="shared" si="23"/>
        <v>1</v>
      </c>
      <c r="AJ49" s="90">
        <f t="shared" si="24"/>
        <v>1</v>
      </c>
      <c r="AK49" s="90">
        <f t="shared" si="25"/>
        <v>0</v>
      </c>
      <c r="AL49" s="90">
        <f t="shared" si="26"/>
        <v>1.5</v>
      </c>
      <c r="AM49" s="91">
        <f t="shared" si="27"/>
        <v>48</v>
      </c>
      <c r="AO49" s="92" t="s">
        <v>130</v>
      </c>
      <c r="AP49" s="92" t="s">
        <v>131</v>
      </c>
      <c r="AQ49" s="92">
        <v>1896941</v>
      </c>
      <c r="AR49" s="41">
        <f t="shared" si="35"/>
        <v>48</v>
      </c>
      <c r="AS49" s="36">
        <f t="shared" si="36"/>
        <v>2.7</v>
      </c>
    </row>
    <row r="50" spans="1:53" ht="15.6" x14ac:dyDescent="0.3">
      <c r="B50" s="62">
        <v>36</v>
      </c>
      <c r="C50" s="92" t="s">
        <v>132</v>
      </c>
      <c r="D50" s="92" t="s">
        <v>133</v>
      </c>
      <c r="E50" s="92">
        <v>1889473</v>
      </c>
      <c r="F50" s="96">
        <v>2</v>
      </c>
      <c r="G50" s="96">
        <v>1</v>
      </c>
      <c r="H50" s="96">
        <v>4</v>
      </c>
      <c r="I50" s="96">
        <v>3</v>
      </c>
      <c r="J50" s="96">
        <v>6</v>
      </c>
      <c r="K50" s="96">
        <v>7</v>
      </c>
      <c r="L50" s="96">
        <v>5</v>
      </c>
      <c r="M50" s="96">
        <v>11</v>
      </c>
      <c r="N50" s="96">
        <v>10</v>
      </c>
      <c r="O50" s="96">
        <v>12</v>
      </c>
      <c r="P50" s="96">
        <v>1</v>
      </c>
      <c r="Q50" s="96">
        <v>0</v>
      </c>
      <c r="R50" s="96">
        <v>0</v>
      </c>
      <c r="S50" s="96">
        <v>1</v>
      </c>
      <c r="T50" s="96">
        <v>0</v>
      </c>
      <c r="U50" s="96">
        <v>0</v>
      </c>
      <c r="V50" s="96"/>
      <c r="W50" s="90">
        <f t="shared" si="11"/>
        <v>2</v>
      </c>
      <c r="X50" s="90">
        <f t="shared" si="12"/>
        <v>1</v>
      </c>
      <c r="Y50" s="90">
        <f t="shared" si="13"/>
        <v>4</v>
      </c>
      <c r="Z50" s="90">
        <f t="shared" si="14"/>
        <v>3</v>
      </c>
      <c r="AA50" s="90">
        <f t="shared" si="15"/>
        <v>6</v>
      </c>
      <c r="AB50" s="90">
        <f t="shared" si="16"/>
        <v>7</v>
      </c>
      <c r="AC50" s="90">
        <f t="shared" si="17"/>
        <v>5</v>
      </c>
      <c r="AD50" s="90">
        <f t="shared" si="18"/>
        <v>11</v>
      </c>
      <c r="AE50" s="90">
        <f t="shared" si="19"/>
        <v>10</v>
      </c>
      <c r="AF50" s="90">
        <f t="shared" si="20"/>
        <v>12</v>
      </c>
      <c r="AG50" s="90">
        <f t="shared" si="21"/>
        <v>1</v>
      </c>
      <c r="AH50" s="90">
        <f t="shared" si="22"/>
        <v>0</v>
      </c>
      <c r="AI50" s="90">
        <f t="shared" si="23"/>
        <v>0</v>
      </c>
      <c r="AJ50" s="90">
        <f t="shared" si="24"/>
        <v>1</v>
      </c>
      <c r="AK50" s="90">
        <f t="shared" si="25"/>
        <v>0</v>
      </c>
      <c r="AL50" s="90">
        <f t="shared" si="26"/>
        <v>0</v>
      </c>
      <c r="AM50" s="91">
        <f t="shared" si="27"/>
        <v>63</v>
      </c>
      <c r="AO50" s="92" t="s">
        <v>132</v>
      </c>
      <c r="AP50" s="92" t="s">
        <v>133</v>
      </c>
      <c r="AQ50" s="92">
        <v>1889473</v>
      </c>
      <c r="AR50" s="41">
        <f t="shared" si="35"/>
        <v>63</v>
      </c>
      <c r="AS50" s="36">
        <f t="shared" si="36"/>
        <v>1.7</v>
      </c>
    </row>
    <row r="51" spans="1:53" ht="15.6" x14ac:dyDescent="0.3">
      <c r="B51" s="62">
        <v>37</v>
      </c>
      <c r="C51" s="92" t="s">
        <v>134</v>
      </c>
      <c r="D51" s="92" t="s">
        <v>135</v>
      </c>
      <c r="E51" s="92">
        <v>1888067</v>
      </c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96"/>
      <c r="W51" s="90">
        <f>F51*F$4</f>
        <v>0</v>
      </c>
      <c r="X51" s="90">
        <f t="shared" si="12"/>
        <v>0</v>
      </c>
      <c r="Y51" s="90">
        <f t="shared" si="13"/>
        <v>0</v>
      </c>
      <c r="Z51" s="90">
        <f t="shared" si="14"/>
        <v>0</v>
      </c>
      <c r="AA51" s="90">
        <f>J51*J$4</f>
        <v>0</v>
      </c>
      <c r="AB51" s="90">
        <f t="shared" si="16"/>
        <v>0</v>
      </c>
      <c r="AC51" s="90">
        <f t="shared" si="17"/>
        <v>0</v>
      </c>
      <c r="AD51" s="90">
        <f t="shared" si="18"/>
        <v>0</v>
      </c>
      <c r="AE51" s="90">
        <f t="shared" si="19"/>
        <v>0</v>
      </c>
      <c r="AF51" s="90">
        <f t="shared" si="20"/>
        <v>0</v>
      </c>
      <c r="AG51" s="90">
        <f t="shared" si="21"/>
        <v>0</v>
      </c>
      <c r="AH51" s="90">
        <f t="shared" si="22"/>
        <v>0</v>
      </c>
      <c r="AI51" s="90">
        <f t="shared" si="23"/>
        <v>0</v>
      </c>
      <c r="AJ51" s="90">
        <f t="shared" si="24"/>
        <v>0</v>
      </c>
      <c r="AK51" s="90">
        <f t="shared" si="25"/>
        <v>0</v>
      </c>
      <c r="AL51" s="90">
        <f t="shared" si="26"/>
        <v>0</v>
      </c>
      <c r="AM51" s="91">
        <f t="shared" si="27"/>
        <v>0</v>
      </c>
      <c r="AO51" s="92" t="s">
        <v>134</v>
      </c>
      <c r="AP51" s="92" t="s">
        <v>135</v>
      </c>
      <c r="AQ51" s="92">
        <v>1888067</v>
      </c>
      <c r="AR51" s="41">
        <f t="shared" si="35"/>
        <v>0</v>
      </c>
      <c r="AS51" s="36">
        <f t="shared" si="36"/>
        <v>5</v>
      </c>
    </row>
    <row r="52" spans="1:53" ht="15.6" x14ac:dyDescent="0.3">
      <c r="B52" s="62">
        <v>38</v>
      </c>
      <c r="C52" s="92" t="s">
        <v>136</v>
      </c>
      <c r="D52" s="92" t="s">
        <v>137</v>
      </c>
      <c r="E52" s="92">
        <v>1903744</v>
      </c>
      <c r="F52" s="96">
        <v>1</v>
      </c>
      <c r="G52" s="96">
        <v>0</v>
      </c>
      <c r="H52" s="96">
        <v>5.5</v>
      </c>
      <c r="I52" s="96">
        <v>3</v>
      </c>
      <c r="J52" s="96">
        <v>2</v>
      </c>
      <c r="K52" s="96">
        <v>0</v>
      </c>
      <c r="L52" s="96">
        <v>0.5</v>
      </c>
      <c r="M52" s="96">
        <v>0</v>
      </c>
      <c r="N52" s="96">
        <v>5</v>
      </c>
      <c r="O52" s="96">
        <v>0</v>
      </c>
      <c r="P52" s="96">
        <v>1</v>
      </c>
      <c r="Q52" s="96">
        <v>1</v>
      </c>
      <c r="R52" s="96">
        <v>1</v>
      </c>
      <c r="S52" s="96">
        <v>1</v>
      </c>
      <c r="T52" s="96">
        <v>0</v>
      </c>
      <c r="U52" s="96">
        <v>1.5</v>
      </c>
      <c r="V52" s="96"/>
      <c r="W52" s="90">
        <f t="shared" si="11"/>
        <v>1</v>
      </c>
      <c r="X52" s="90">
        <f t="shared" si="12"/>
        <v>0</v>
      </c>
      <c r="Y52" s="90">
        <f t="shared" si="13"/>
        <v>5.5</v>
      </c>
      <c r="Z52" s="90">
        <f t="shared" si="14"/>
        <v>3</v>
      </c>
      <c r="AA52" s="90">
        <f t="shared" si="15"/>
        <v>2</v>
      </c>
      <c r="AB52" s="90">
        <f t="shared" si="16"/>
        <v>0</v>
      </c>
      <c r="AC52" s="90">
        <f t="shared" si="17"/>
        <v>0.5</v>
      </c>
      <c r="AD52" s="90">
        <f t="shared" si="18"/>
        <v>0</v>
      </c>
      <c r="AE52" s="90">
        <f t="shared" si="19"/>
        <v>5</v>
      </c>
      <c r="AF52" s="90">
        <f t="shared" si="20"/>
        <v>0</v>
      </c>
      <c r="AG52" s="90">
        <f t="shared" si="21"/>
        <v>1</v>
      </c>
      <c r="AH52" s="90">
        <f t="shared" si="22"/>
        <v>1</v>
      </c>
      <c r="AI52" s="90">
        <f t="shared" si="23"/>
        <v>1</v>
      </c>
      <c r="AJ52" s="90">
        <f t="shared" si="24"/>
        <v>1</v>
      </c>
      <c r="AK52" s="90">
        <f t="shared" si="25"/>
        <v>0</v>
      </c>
      <c r="AL52" s="90">
        <f t="shared" si="26"/>
        <v>1.5</v>
      </c>
      <c r="AM52" s="91">
        <f t="shared" si="27"/>
        <v>22.5</v>
      </c>
      <c r="AO52" s="92" t="s">
        <v>136</v>
      </c>
      <c r="AP52" s="92" t="s">
        <v>137</v>
      </c>
      <c r="AQ52" s="92">
        <v>1903744</v>
      </c>
      <c r="AR52" s="41">
        <f t="shared" si="35"/>
        <v>22.5</v>
      </c>
      <c r="AS52" s="36">
        <f t="shared" si="36"/>
        <v>5</v>
      </c>
    </row>
    <row r="53" spans="1:53" ht="15.6" x14ac:dyDescent="0.3">
      <c r="A53" s="65"/>
      <c r="B53" s="62">
        <v>39</v>
      </c>
      <c r="C53" s="92" t="s">
        <v>138</v>
      </c>
      <c r="D53" s="92" t="s">
        <v>139</v>
      </c>
      <c r="E53" s="92">
        <v>1890936</v>
      </c>
      <c r="F53" s="96">
        <v>2</v>
      </c>
      <c r="G53" s="96">
        <v>1</v>
      </c>
      <c r="H53" s="96">
        <v>6</v>
      </c>
      <c r="I53" s="96">
        <v>1</v>
      </c>
      <c r="J53" s="96">
        <v>0</v>
      </c>
      <c r="K53" s="96">
        <v>7</v>
      </c>
      <c r="L53" s="96">
        <v>5</v>
      </c>
      <c r="M53" s="96">
        <v>5</v>
      </c>
      <c r="N53" s="96">
        <v>10</v>
      </c>
      <c r="O53" s="96">
        <v>6</v>
      </c>
      <c r="P53" s="96">
        <v>1</v>
      </c>
      <c r="Q53" s="96">
        <v>0</v>
      </c>
      <c r="R53" s="96">
        <v>1</v>
      </c>
      <c r="S53" s="96">
        <v>1</v>
      </c>
      <c r="T53" s="96">
        <v>1.5</v>
      </c>
      <c r="U53" s="96">
        <v>0</v>
      </c>
      <c r="V53" s="96"/>
      <c r="W53" s="90">
        <f t="shared" si="11"/>
        <v>2</v>
      </c>
      <c r="X53" s="90">
        <f t="shared" si="12"/>
        <v>1</v>
      </c>
      <c r="Y53" s="90">
        <f t="shared" si="13"/>
        <v>6</v>
      </c>
      <c r="Z53" s="90">
        <f t="shared" si="14"/>
        <v>1</v>
      </c>
      <c r="AA53" s="90">
        <f t="shared" si="15"/>
        <v>0</v>
      </c>
      <c r="AB53" s="90">
        <f t="shared" si="16"/>
        <v>7</v>
      </c>
      <c r="AC53" s="90">
        <f t="shared" si="17"/>
        <v>5</v>
      </c>
      <c r="AD53" s="90">
        <f t="shared" si="18"/>
        <v>5</v>
      </c>
      <c r="AE53" s="90">
        <f t="shared" si="19"/>
        <v>10</v>
      </c>
      <c r="AF53" s="90">
        <f t="shared" si="20"/>
        <v>6</v>
      </c>
      <c r="AG53" s="90">
        <f t="shared" si="21"/>
        <v>1</v>
      </c>
      <c r="AH53" s="90">
        <f t="shared" si="22"/>
        <v>0</v>
      </c>
      <c r="AI53" s="90">
        <f t="shared" si="23"/>
        <v>1</v>
      </c>
      <c r="AJ53" s="90">
        <f t="shared" si="24"/>
        <v>1</v>
      </c>
      <c r="AK53" s="90">
        <f t="shared" si="25"/>
        <v>1.5</v>
      </c>
      <c r="AL53" s="90">
        <f t="shared" si="26"/>
        <v>0</v>
      </c>
      <c r="AM53" s="91">
        <f t="shared" si="27"/>
        <v>47.5</v>
      </c>
      <c r="AO53" s="92" t="s">
        <v>138</v>
      </c>
      <c r="AP53" s="92" t="s">
        <v>139</v>
      </c>
      <c r="AQ53" s="92">
        <v>1890936</v>
      </c>
      <c r="AR53" s="41">
        <f t="shared" si="35"/>
        <v>47.5</v>
      </c>
      <c r="AS53" s="36">
        <f t="shared" si="36"/>
        <v>2.7</v>
      </c>
    </row>
    <row r="54" spans="1:53" ht="15.6" x14ac:dyDescent="0.3">
      <c r="A54" s="65"/>
      <c r="B54" s="62">
        <v>40</v>
      </c>
      <c r="C54" s="92" t="s">
        <v>140</v>
      </c>
      <c r="D54" s="92" t="s">
        <v>141</v>
      </c>
      <c r="E54" s="92">
        <v>1900657</v>
      </c>
      <c r="F54" s="96">
        <v>2</v>
      </c>
      <c r="G54" s="96">
        <v>1</v>
      </c>
      <c r="H54" s="96">
        <v>6</v>
      </c>
      <c r="I54" s="96">
        <v>8</v>
      </c>
      <c r="J54" s="96">
        <v>0</v>
      </c>
      <c r="K54" s="96">
        <v>7</v>
      </c>
      <c r="L54" s="96">
        <v>1</v>
      </c>
      <c r="M54" s="96">
        <v>12</v>
      </c>
      <c r="N54" s="96">
        <v>10</v>
      </c>
      <c r="O54" s="96">
        <v>3</v>
      </c>
      <c r="P54" s="96">
        <v>1</v>
      </c>
      <c r="Q54" s="96">
        <v>1</v>
      </c>
      <c r="R54" s="96">
        <v>1</v>
      </c>
      <c r="S54" s="96">
        <v>1</v>
      </c>
      <c r="T54" s="96">
        <v>1.5</v>
      </c>
      <c r="U54" s="96">
        <v>1.5</v>
      </c>
      <c r="V54" s="96"/>
      <c r="W54" s="90">
        <f t="shared" si="11"/>
        <v>2</v>
      </c>
      <c r="X54" s="90">
        <f t="shared" si="12"/>
        <v>1</v>
      </c>
      <c r="Y54" s="90">
        <f t="shared" si="13"/>
        <v>6</v>
      </c>
      <c r="Z54" s="90">
        <f t="shared" si="14"/>
        <v>8</v>
      </c>
      <c r="AA54" s="90">
        <f t="shared" si="15"/>
        <v>0</v>
      </c>
      <c r="AB54" s="90">
        <f t="shared" si="16"/>
        <v>7</v>
      </c>
      <c r="AC54" s="90">
        <f t="shared" si="17"/>
        <v>1</v>
      </c>
      <c r="AD54" s="90">
        <f t="shared" si="18"/>
        <v>12</v>
      </c>
      <c r="AE54" s="90">
        <f t="shared" si="19"/>
        <v>10</v>
      </c>
      <c r="AF54" s="90">
        <f t="shared" si="20"/>
        <v>3</v>
      </c>
      <c r="AG54" s="90">
        <f t="shared" si="21"/>
        <v>1</v>
      </c>
      <c r="AH54" s="90">
        <f t="shared" si="22"/>
        <v>1</v>
      </c>
      <c r="AI54" s="90">
        <f t="shared" si="23"/>
        <v>1</v>
      </c>
      <c r="AJ54" s="90">
        <f t="shared" si="24"/>
        <v>1</v>
      </c>
      <c r="AK54" s="90">
        <f t="shared" si="25"/>
        <v>1.5</v>
      </c>
      <c r="AL54" s="90">
        <f t="shared" si="26"/>
        <v>1.5</v>
      </c>
      <c r="AM54" s="91">
        <f t="shared" si="27"/>
        <v>57</v>
      </c>
      <c r="AO54" s="92" t="s">
        <v>140</v>
      </c>
      <c r="AP54" s="92" t="s">
        <v>141</v>
      </c>
      <c r="AQ54" s="92">
        <v>1900657</v>
      </c>
      <c r="AR54" s="41">
        <f t="shared" si="35"/>
        <v>57</v>
      </c>
      <c r="AS54" s="36">
        <f t="shared" si="36"/>
        <v>2</v>
      </c>
    </row>
    <row r="55" spans="1:53" ht="15.6" x14ac:dyDescent="0.3">
      <c r="A55" s="65"/>
      <c r="B55" s="62">
        <v>41</v>
      </c>
      <c r="C55" s="92" t="s">
        <v>142</v>
      </c>
      <c r="D55" s="92" t="s">
        <v>143</v>
      </c>
      <c r="E55" s="92">
        <v>1514269</v>
      </c>
      <c r="F55" s="96">
        <v>2</v>
      </c>
      <c r="G55" s="96">
        <v>1</v>
      </c>
      <c r="H55" s="96">
        <v>6</v>
      </c>
      <c r="I55" s="96">
        <v>8</v>
      </c>
      <c r="J55" s="96">
        <v>4</v>
      </c>
      <c r="K55" s="96">
        <v>3</v>
      </c>
      <c r="L55" s="96">
        <v>5</v>
      </c>
      <c r="M55" s="96">
        <v>7</v>
      </c>
      <c r="N55" s="96">
        <v>5</v>
      </c>
      <c r="O55" s="96">
        <v>7</v>
      </c>
      <c r="P55" s="96">
        <v>1</v>
      </c>
      <c r="Q55" s="96">
        <v>1</v>
      </c>
      <c r="R55" s="96">
        <v>1</v>
      </c>
      <c r="S55" s="96">
        <v>1</v>
      </c>
      <c r="T55" s="96">
        <v>1.5</v>
      </c>
      <c r="U55" s="96">
        <v>1.5</v>
      </c>
      <c r="V55" s="96"/>
      <c r="W55" s="90">
        <f t="shared" si="11"/>
        <v>2</v>
      </c>
      <c r="X55" s="90">
        <f t="shared" si="12"/>
        <v>1</v>
      </c>
      <c r="Y55" s="90">
        <f t="shared" si="13"/>
        <v>6</v>
      </c>
      <c r="Z55" s="90">
        <f t="shared" si="14"/>
        <v>8</v>
      </c>
      <c r="AA55" s="90">
        <f t="shared" si="15"/>
        <v>4</v>
      </c>
      <c r="AB55" s="90">
        <f t="shared" si="16"/>
        <v>3</v>
      </c>
      <c r="AC55" s="90">
        <f t="shared" si="17"/>
        <v>5</v>
      </c>
      <c r="AD55" s="90">
        <f t="shared" si="18"/>
        <v>7</v>
      </c>
      <c r="AE55" s="90">
        <f t="shared" si="19"/>
        <v>5</v>
      </c>
      <c r="AF55" s="90">
        <f t="shared" si="20"/>
        <v>7</v>
      </c>
      <c r="AG55" s="90">
        <f t="shared" si="21"/>
        <v>1</v>
      </c>
      <c r="AH55" s="90">
        <f t="shared" si="22"/>
        <v>1</v>
      </c>
      <c r="AI55" s="90">
        <f t="shared" si="23"/>
        <v>1</v>
      </c>
      <c r="AJ55" s="90">
        <f t="shared" si="24"/>
        <v>1</v>
      </c>
      <c r="AK55" s="90">
        <f t="shared" si="25"/>
        <v>1.5</v>
      </c>
      <c r="AL55" s="90">
        <f t="shared" si="26"/>
        <v>1.5</v>
      </c>
      <c r="AM55" s="91">
        <f t="shared" si="27"/>
        <v>55</v>
      </c>
      <c r="AO55" s="92" t="s">
        <v>142</v>
      </c>
      <c r="AP55" s="92" t="s">
        <v>143</v>
      </c>
      <c r="AQ55" s="92">
        <v>1514269</v>
      </c>
      <c r="AR55" s="41">
        <f t="shared" si="35"/>
        <v>55</v>
      </c>
      <c r="AS55" s="36">
        <f t="shared" si="36"/>
        <v>2</v>
      </c>
    </row>
    <row r="56" spans="1:53" ht="15.6" x14ac:dyDescent="0.3">
      <c r="A56" s="65"/>
      <c r="B56" s="62">
        <v>42</v>
      </c>
      <c r="C56" s="92" t="s">
        <v>144</v>
      </c>
      <c r="D56" s="92" t="s">
        <v>135</v>
      </c>
      <c r="E56" s="92">
        <v>1879962</v>
      </c>
      <c r="F56" s="96">
        <v>2</v>
      </c>
      <c r="G56" s="96">
        <v>0.5</v>
      </c>
      <c r="H56" s="96">
        <v>6</v>
      </c>
      <c r="I56" s="96">
        <v>2</v>
      </c>
      <c r="J56" s="96">
        <v>6</v>
      </c>
      <c r="K56" s="96">
        <v>3</v>
      </c>
      <c r="L56" s="96">
        <v>5</v>
      </c>
      <c r="M56" s="96">
        <v>0</v>
      </c>
      <c r="N56" s="96">
        <v>10</v>
      </c>
      <c r="O56" s="96">
        <v>2</v>
      </c>
      <c r="P56" s="96">
        <v>0</v>
      </c>
      <c r="Q56" s="96">
        <v>1</v>
      </c>
      <c r="R56" s="96">
        <v>1</v>
      </c>
      <c r="S56" s="96">
        <v>1</v>
      </c>
      <c r="T56" s="96">
        <v>0</v>
      </c>
      <c r="U56" s="96">
        <v>1.5</v>
      </c>
      <c r="V56" s="96"/>
      <c r="W56" s="90">
        <f t="shared" si="11"/>
        <v>2</v>
      </c>
      <c r="X56" s="90">
        <f t="shared" si="12"/>
        <v>0.5</v>
      </c>
      <c r="Y56" s="90">
        <f t="shared" si="13"/>
        <v>6</v>
      </c>
      <c r="Z56" s="90">
        <f t="shared" si="14"/>
        <v>2</v>
      </c>
      <c r="AA56" s="90">
        <f t="shared" si="15"/>
        <v>6</v>
      </c>
      <c r="AB56" s="90">
        <f t="shared" si="16"/>
        <v>3</v>
      </c>
      <c r="AC56" s="90">
        <f t="shared" si="17"/>
        <v>5</v>
      </c>
      <c r="AD56" s="90">
        <f t="shared" si="18"/>
        <v>0</v>
      </c>
      <c r="AE56" s="90">
        <f t="shared" si="19"/>
        <v>10</v>
      </c>
      <c r="AF56" s="90">
        <f t="shared" si="20"/>
        <v>2</v>
      </c>
      <c r="AG56" s="90">
        <f t="shared" si="21"/>
        <v>0</v>
      </c>
      <c r="AH56" s="90">
        <f t="shared" si="22"/>
        <v>1</v>
      </c>
      <c r="AI56" s="90">
        <f t="shared" si="23"/>
        <v>1</v>
      </c>
      <c r="AJ56" s="90">
        <f t="shared" si="24"/>
        <v>1</v>
      </c>
      <c r="AK56" s="90">
        <f t="shared" si="25"/>
        <v>0</v>
      </c>
      <c r="AL56" s="90">
        <f t="shared" si="26"/>
        <v>1.5</v>
      </c>
      <c r="AM56" s="91">
        <f t="shared" si="27"/>
        <v>41</v>
      </c>
      <c r="AO56" s="92" t="s">
        <v>144</v>
      </c>
      <c r="AP56" s="92" t="s">
        <v>135</v>
      </c>
      <c r="AQ56" s="92">
        <v>1879962</v>
      </c>
      <c r="AR56" s="41">
        <f t="shared" si="35"/>
        <v>41</v>
      </c>
      <c r="AS56" s="36">
        <f t="shared" si="36"/>
        <v>3.3</v>
      </c>
    </row>
    <row r="57" spans="1:53" ht="15.6" x14ac:dyDescent="0.3">
      <c r="A57" s="65"/>
      <c r="B57" s="62">
        <v>43</v>
      </c>
      <c r="C57" s="92" t="s">
        <v>145</v>
      </c>
      <c r="D57" s="92" t="s">
        <v>146</v>
      </c>
      <c r="E57" s="92">
        <v>1888492</v>
      </c>
      <c r="F57" s="96">
        <v>0.5</v>
      </c>
      <c r="G57" s="96">
        <v>0</v>
      </c>
      <c r="H57" s="96">
        <v>6</v>
      </c>
      <c r="I57" s="96">
        <v>0</v>
      </c>
      <c r="J57" s="96">
        <v>0</v>
      </c>
      <c r="K57" s="96">
        <v>0</v>
      </c>
      <c r="L57" s="96">
        <v>0</v>
      </c>
      <c r="M57" s="96">
        <v>2</v>
      </c>
      <c r="N57" s="96">
        <v>10</v>
      </c>
      <c r="O57" s="96">
        <v>12</v>
      </c>
      <c r="P57" s="96">
        <v>1</v>
      </c>
      <c r="Q57" s="96">
        <v>0</v>
      </c>
      <c r="R57" s="96">
        <v>0</v>
      </c>
      <c r="S57" s="96">
        <v>0</v>
      </c>
      <c r="T57" s="96">
        <v>0</v>
      </c>
      <c r="U57" s="96">
        <v>1.5</v>
      </c>
      <c r="V57" s="96"/>
      <c r="W57" s="90">
        <f t="shared" si="11"/>
        <v>0.5</v>
      </c>
      <c r="X57" s="90">
        <f t="shared" si="12"/>
        <v>0</v>
      </c>
      <c r="Y57" s="90">
        <f t="shared" si="13"/>
        <v>6</v>
      </c>
      <c r="Z57" s="90">
        <f t="shared" si="14"/>
        <v>0</v>
      </c>
      <c r="AA57" s="90">
        <f t="shared" si="15"/>
        <v>0</v>
      </c>
      <c r="AB57" s="90">
        <f t="shared" si="16"/>
        <v>0</v>
      </c>
      <c r="AC57" s="90">
        <f t="shared" si="17"/>
        <v>0</v>
      </c>
      <c r="AD57" s="90">
        <f t="shared" si="18"/>
        <v>2</v>
      </c>
      <c r="AE57" s="90">
        <f t="shared" si="19"/>
        <v>10</v>
      </c>
      <c r="AF57" s="90">
        <f t="shared" si="20"/>
        <v>12</v>
      </c>
      <c r="AG57" s="90">
        <f t="shared" si="21"/>
        <v>1</v>
      </c>
      <c r="AH57" s="90">
        <f t="shared" si="22"/>
        <v>0</v>
      </c>
      <c r="AI57" s="90">
        <f t="shared" si="23"/>
        <v>0</v>
      </c>
      <c r="AJ57" s="90">
        <f t="shared" si="24"/>
        <v>0</v>
      </c>
      <c r="AK57" s="90">
        <f t="shared" si="25"/>
        <v>0</v>
      </c>
      <c r="AL57" s="90">
        <f t="shared" si="26"/>
        <v>1.5</v>
      </c>
      <c r="AM57" s="91">
        <f t="shared" si="27"/>
        <v>33</v>
      </c>
      <c r="AO57" s="92" t="s">
        <v>145</v>
      </c>
      <c r="AP57" s="92" t="s">
        <v>146</v>
      </c>
      <c r="AQ57" s="92">
        <v>1888492</v>
      </c>
      <c r="AR57" s="41">
        <f t="shared" si="35"/>
        <v>33</v>
      </c>
      <c r="AS57" s="36">
        <f t="shared" si="36"/>
        <v>4</v>
      </c>
    </row>
    <row r="58" spans="1:53" ht="15.6" x14ac:dyDescent="0.3">
      <c r="A58" s="65"/>
      <c r="B58" s="62">
        <v>44</v>
      </c>
      <c r="C58" s="92" t="s">
        <v>147</v>
      </c>
      <c r="D58" s="92" t="s">
        <v>148</v>
      </c>
      <c r="E58" s="92">
        <v>1888489</v>
      </c>
      <c r="F58" s="96">
        <v>0.5</v>
      </c>
      <c r="G58" s="96">
        <v>1</v>
      </c>
      <c r="H58" s="96">
        <v>6</v>
      </c>
      <c r="I58" s="96">
        <v>3.5</v>
      </c>
      <c r="J58" s="96">
        <v>2.5</v>
      </c>
      <c r="K58" s="96">
        <v>7</v>
      </c>
      <c r="L58" s="96">
        <v>5</v>
      </c>
      <c r="M58" s="96">
        <v>0</v>
      </c>
      <c r="N58" s="96">
        <v>0</v>
      </c>
      <c r="O58" s="96">
        <v>0</v>
      </c>
      <c r="P58" s="96">
        <v>1</v>
      </c>
      <c r="Q58" s="96">
        <v>1</v>
      </c>
      <c r="R58" s="96">
        <v>1</v>
      </c>
      <c r="S58" s="96">
        <v>1</v>
      </c>
      <c r="T58" s="96">
        <v>0</v>
      </c>
      <c r="U58" s="96">
        <v>1.5</v>
      </c>
      <c r="V58" s="96"/>
      <c r="W58" s="90">
        <f t="shared" si="11"/>
        <v>0.5</v>
      </c>
      <c r="X58" s="90">
        <f t="shared" si="12"/>
        <v>1</v>
      </c>
      <c r="Y58" s="90">
        <f t="shared" si="13"/>
        <v>6</v>
      </c>
      <c r="Z58" s="90">
        <f t="shared" si="14"/>
        <v>3.5</v>
      </c>
      <c r="AA58" s="90">
        <f t="shared" si="15"/>
        <v>2.5</v>
      </c>
      <c r="AB58" s="90">
        <f t="shared" si="16"/>
        <v>7</v>
      </c>
      <c r="AC58" s="90">
        <f t="shared" si="17"/>
        <v>5</v>
      </c>
      <c r="AD58" s="90">
        <f t="shared" si="18"/>
        <v>0</v>
      </c>
      <c r="AE58" s="90">
        <f t="shared" si="19"/>
        <v>0</v>
      </c>
      <c r="AF58" s="90">
        <f t="shared" si="20"/>
        <v>0</v>
      </c>
      <c r="AG58" s="90">
        <f t="shared" si="21"/>
        <v>1</v>
      </c>
      <c r="AH58" s="90">
        <f t="shared" si="22"/>
        <v>1</v>
      </c>
      <c r="AI58" s="90">
        <f t="shared" si="23"/>
        <v>1</v>
      </c>
      <c r="AJ58" s="90">
        <f t="shared" si="24"/>
        <v>1</v>
      </c>
      <c r="AK58" s="90">
        <f t="shared" si="25"/>
        <v>0</v>
      </c>
      <c r="AL58" s="90">
        <f t="shared" si="26"/>
        <v>1.5</v>
      </c>
      <c r="AM58" s="91">
        <f t="shared" si="27"/>
        <v>31</v>
      </c>
      <c r="AO58" s="92" t="s">
        <v>147</v>
      </c>
      <c r="AP58" s="92" t="s">
        <v>148</v>
      </c>
      <c r="AQ58" s="92">
        <v>1888489</v>
      </c>
      <c r="AR58" s="41">
        <f t="shared" si="35"/>
        <v>31</v>
      </c>
      <c r="AS58" s="36">
        <f t="shared" si="36"/>
        <v>4</v>
      </c>
    </row>
    <row r="59" spans="1:53" ht="15.6" x14ac:dyDescent="0.3">
      <c r="A59" s="65"/>
      <c r="B59" s="62">
        <v>45</v>
      </c>
      <c r="C59" s="92" t="s">
        <v>149</v>
      </c>
      <c r="D59" s="92" t="s">
        <v>150</v>
      </c>
      <c r="E59" s="92">
        <v>1891889</v>
      </c>
      <c r="F59" s="96">
        <v>1</v>
      </c>
      <c r="G59" s="96">
        <v>2</v>
      </c>
      <c r="H59" s="96">
        <v>6</v>
      </c>
      <c r="I59" s="96">
        <v>1</v>
      </c>
      <c r="J59" s="96">
        <v>6</v>
      </c>
      <c r="K59" s="96">
        <v>0</v>
      </c>
      <c r="L59" s="96">
        <v>5</v>
      </c>
      <c r="M59" s="96">
        <v>9</v>
      </c>
      <c r="N59" s="96">
        <v>10</v>
      </c>
      <c r="O59" s="96">
        <v>12</v>
      </c>
      <c r="P59" s="96">
        <v>0</v>
      </c>
      <c r="Q59" s="96">
        <v>1</v>
      </c>
      <c r="R59" s="96">
        <v>1</v>
      </c>
      <c r="S59" s="96">
        <v>1</v>
      </c>
      <c r="T59" s="96">
        <v>0</v>
      </c>
      <c r="U59" s="96">
        <v>1.5</v>
      </c>
      <c r="V59" s="96"/>
      <c r="W59" s="90">
        <f t="shared" si="11"/>
        <v>1</v>
      </c>
      <c r="X59" s="90">
        <f t="shared" si="12"/>
        <v>2</v>
      </c>
      <c r="Y59" s="90">
        <f t="shared" si="13"/>
        <v>6</v>
      </c>
      <c r="Z59" s="90">
        <f t="shared" si="14"/>
        <v>1</v>
      </c>
      <c r="AA59" s="90">
        <f t="shared" si="15"/>
        <v>6</v>
      </c>
      <c r="AB59" s="90">
        <f t="shared" si="16"/>
        <v>0</v>
      </c>
      <c r="AC59" s="90">
        <f t="shared" si="17"/>
        <v>5</v>
      </c>
      <c r="AD59" s="90">
        <f t="shared" si="18"/>
        <v>9</v>
      </c>
      <c r="AE59" s="90">
        <f t="shared" si="19"/>
        <v>10</v>
      </c>
      <c r="AF59" s="90">
        <f t="shared" si="20"/>
        <v>12</v>
      </c>
      <c r="AG59" s="90">
        <f t="shared" si="21"/>
        <v>0</v>
      </c>
      <c r="AH59" s="90">
        <f t="shared" si="22"/>
        <v>1</v>
      </c>
      <c r="AI59" s="90">
        <f t="shared" si="23"/>
        <v>1</v>
      </c>
      <c r="AJ59" s="90">
        <f t="shared" si="24"/>
        <v>1</v>
      </c>
      <c r="AK59" s="90">
        <f t="shared" si="25"/>
        <v>0</v>
      </c>
      <c r="AL59" s="90">
        <f t="shared" si="26"/>
        <v>1.5</v>
      </c>
      <c r="AM59" s="91">
        <f t="shared" si="27"/>
        <v>56.5</v>
      </c>
      <c r="AO59" s="92" t="s">
        <v>149</v>
      </c>
      <c r="AP59" s="92" t="s">
        <v>150</v>
      </c>
      <c r="AQ59" s="92">
        <v>1891889</v>
      </c>
      <c r="AR59" s="41">
        <f t="shared" si="35"/>
        <v>56.5</v>
      </c>
      <c r="AS59" s="36">
        <f t="shared" si="36"/>
        <v>2</v>
      </c>
    </row>
    <row r="60" spans="1:53" ht="15.6" x14ac:dyDescent="0.3">
      <c r="A60" s="65"/>
      <c r="B60" s="62">
        <v>46</v>
      </c>
      <c r="C60" s="92" t="s">
        <v>53</v>
      </c>
      <c r="D60" s="92" t="s">
        <v>151</v>
      </c>
      <c r="E60" s="92">
        <v>1888463</v>
      </c>
      <c r="F60" s="96">
        <v>1</v>
      </c>
      <c r="G60" s="96">
        <v>1</v>
      </c>
      <c r="H60" s="96">
        <v>6</v>
      </c>
      <c r="I60" s="96">
        <v>5</v>
      </c>
      <c r="J60" s="96">
        <v>6</v>
      </c>
      <c r="K60" s="96">
        <v>0</v>
      </c>
      <c r="L60" s="96">
        <v>5</v>
      </c>
      <c r="M60" s="96">
        <v>7</v>
      </c>
      <c r="N60" s="96">
        <v>10</v>
      </c>
      <c r="O60" s="96">
        <v>2</v>
      </c>
      <c r="P60" s="96">
        <v>1</v>
      </c>
      <c r="Q60" s="96">
        <v>1</v>
      </c>
      <c r="R60" s="96">
        <v>0</v>
      </c>
      <c r="S60" s="96">
        <v>1</v>
      </c>
      <c r="T60" s="96">
        <v>1.5</v>
      </c>
      <c r="U60" s="96">
        <v>1.5</v>
      </c>
      <c r="V60" s="96"/>
      <c r="W60" s="90">
        <f t="shared" si="11"/>
        <v>1</v>
      </c>
      <c r="X60" s="90">
        <f t="shared" si="12"/>
        <v>1</v>
      </c>
      <c r="Y60" s="90">
        <f t="shared" si="13"/>
        <v>6</v>
      </c>
      <c r="Z60" s="90">
        <f t="shared" si="14"/>
        <v>5</v>
      </c>
      <c r="AA60" s="90">
        <f t="shared" si="15"/>
        <v>6</v>
      </c>
      <c r="AB60" s="90">
        <f t="shared" si="16"/>
        <v>0</v>
      </c>
      <c r="AC60" s="90">
        <f t="shared" si="17"/>
        <v>5</v>
      </c>
      <c r="AD60" s="90">
        <f t="shared" si="18"/>
        <v>7</v>
      </c>
      <c r="AE60" s="90">
        <f t="shared" si="19"/>
        <v>10</v>
      </c>
      <c r="AF60" s="90">
        <f t="shared" si="20"/>
        <v>2</v>
      </c>
      <c r="AG60" s="90">
        <f t="shared" si="21"/>
        <v>1</v>
      </c>
      <c r="AH60" s="90">
        <f t="shared" si="22"/>
        <v>1</v>
      </c>
      <c r="AI60" s="90">
        <f t="shared" si="23"/>
        <v>0</v>
      </c>
      <c r="AJ60" s="90">
        <f t="shared" si="24"/>
        <v>1</v>
      </c>
      <c r="AK60" s="90">
        <f t="shared" si="25"/>
        <v>1.5</v>
      </c>
      <c r="AL60" s="90">
        <f t="shared" si="26"/>
        <v>1.5</v>
      </c>
      <c r="AM60" s="91">
        <f t="shared" si="27"/>
        <v>49</v>
      </c>
      <c r="AO60" s="92" t="s">
        <v>53</v>
      </c>
      <c r="AP60" s="92" t="s">
        <v>151</v>
      </c>
      <c r="AQ60" s="92">
        <v>1888463</v>
      </c>
      <c r="AR60" s="41">
        <f t="shared" si="35"/>
        <v>49</v>
      </c>
      <c r="AS60" s="36">
        <f t="shared" si="36"/>
        <v>2.7</v>
      </c>
    </row>
    <row r="61" spans="1:53" ht="15.6" x14ac:dyDescent="0.3">
      <c r="A61" s="65"/>
      <c r="B61" s="62">
        <v>47</v>
      </c>
      <c r="C61" s="92" t="s">
        <v>152</v>
      </c>
      <c r="D61" s="92" t="s">
        <v>153</v>
      </c>
      <c r="E61" s="92">
        <v>1884915</v>
      </c>
      <c r="F61" s="96">
        <v>2</v>
      </c>
      <c r="G61" s="96">
        <v>2</v>
      </c>
      <c r="H61" s="96">
        <v>6</v>
      </c>
      <c r="I61" s="96">
        <v>1</v>
      </c>
      <c r="J61" s="96">
        <v>2</v>
      </c>
      <c r="K61" s="96">
        <v>0</v>
      </c>
      <c r="L61" s="96">
        <v>5</v>
      </c>
      <c r="M61" s="96">
        <v>6</v>
      </c>
      <c r="N61" s="96">
        <v>10</v>
      </c>
      <c r="O61" s="96">
        <v>12</v>
      </c>
      <c r="P61" s="96">
        <v>1</v>
      </c>
      <c r="Q61" s="96">
        <v>1</v>
      </c>
      <c r="R61" s="96">
        <v>0</v>
      </c>
      <c r="S61" s="96">
        <v>1</v>
      </c>
      <c r="T61" s="96">
        <v>0</v>
      </c>
      <c r="U61" s="96">
        <v>1.5</v>
      </c>
      <c r="V61" s="96"/>
      <c r="W61" s="90">
        <f t="shared" si="11"/>
        <v>2</v>
      </c>
      <c r="X61" s="90">
        <f t="shared" si="12"/>
        <v>2</v>
      </c>
      <c r="Y61" s="90">
        <f t="shared" si="13"/>
        <v>6</v>
      </c>
      <c r="Z61" s="90">
        <f t="shared" si="14"/>
        <v>1</v>
      </c>
      <c r="AA61" s="90">
        <f t="shared" si="15"/>
        <v>2</v>
      </c>
      <c r="AB61" s="90">
        <f t="shared" si="16"/>
        <v>0</v>
      </c>
      <c r="AC61" s="90">
        <f t="shared" si="17"/>
        <v>5</v>
      </c>
      <c r="AD61" s="90">
        <f t="shared" si="18"/>
        <v>6</v>
      </c>
      <c r="AE61" s="90">
        <f t="shared" si="19"/>
        <v>10</v>
      </c>
      <c r="AF61" s="90">
        <f t="shared" si="20"/>
        <v>12</v>
      </c>
      <c r="AG61" s="90">
        <f t="shared" si="21"/>
        <v>1</v>
      </c>
      <c r="AH61" s="90">
        <f t="shared" si="22"/>
        <v>1</v>
      </c>
      <c r="AI61" s="90">
        <f t="shared" si="23"/>
        <v>0</v>
      </c>
      <c r="AJ61" s="90">
        <f t="shared" si="24"/>
        <v>1</v>
      </c>
      <c r="AK61" s="90">
        <f t="shared" si="25"/>
        <v>0</v>
      </c>
      <c r="AL61" s="90">
        <f t="shared" si="26"/>
        <v>1.5</v>
      </c>
      <c r="AM61" s="91">
        <f t="shared" si="27"/>
        <v>50.5</v>
      </c>
      <c r="AO61" s="92" t="s">
        <v>152</v>
      </c>
      <c r="AP61" s="92" t="s">
        <v>153</v>
      </c>
      <c r="AQ61" s="92">
        <v>1884915</v>
      </c>
      <c r="AR61" s="41">
        <f t="shared" si="35"/>
        <v>50.5</v>
      </c>
      <c r="AS61" s="36">
        <f t="shared" si="36"/>
        <v>2.7</v>
      </c>
      <c r="AU61" s="20" t="s">
        <v>29</v>
      </c>
      <c r="AV61" s="20"/>
      <c r="AW61" s="20"/>
      <c r="AX61" s="20"/>
      <c r="AY61" s="20"/>
      <c r="BA61" s="1" t="s">
        <v>8</v>
      </c>
    </row>
    <row r="62" spans="1:53" ht="16.2" thickBot="1" x14ac:dyDescent="0.35">
      <c r="A62" s="65"/>
      <c r="B62" s="62">
        <v>48</v>
      </c>
      <c r="C62" s="92" t="s">
        <v>154</v>
      </c>
      <c r="D62" s="92" t="s">
        <v>155</v>
      </c>
      <c r="E62" s="92">
        <v>1900673</v>
      </c>
      <c r="F62" s="96">
        <v>1</v>
      </c>
      <c r="G62" s="96">
        <v>0</v>
      </c>
      <c r="H62" s="96">
        <v>6</v>
      </c>
      <c r="I62" s="96">
        <v>5</v>
      </c>
      <c r="J62" s="96">
        <v>0</v>
      </c>
      <c r="K62" s="96">
        <v>0</v>
      </c>
      <c r="L62" s="96">
        <v>0</v>
      </c>
      <c r="M62" s="96">
        <v>0</v>
      </c>
      <c r="N62" s="96">
        <v>0</v>
      </c>
      <c r="O62" s="96">
        <v>0</v>
      </c>
      <c r="P62" s="96">
        <v>1</v>
      </c>
      <c r="Q62" s="96">
        <v>0</v>
      </c>
      <c r="R62" s="96">
        <v>0</v>
      </c>
      <c r="S62" s="96">
        <v>0</v>
      </c>
      <c r="T62" s="96">
        <v>1.5</v>
      </c>
      <c r="U62" s="96">
        <v>1.5</v>
      </c>
      <c r="V62" s="96"/>
      <c r="W62" s="90">
        <f t="shared" si="11"/>
        <v>1</v>
      </c>
      <c r="X62" s="90">
        <f t="shared" si="12"/>
        <v>0</v>
      </c>
      <c r="Y62" s="90">
        <f t="shared" si="13"/>
        <v>6</v>
      </c>
      <c r="Z62" s="90">
        <f t="shared" si="14"/>
        <v>5</v>
      </c>
      <c r="AA62" s="90">
        <f t="shared" si="15"/>
        <v>0</v>
      </c>
      <c r="AB62" s="90">
        <f t="shared" si="16"/>
        <v>0</v>
      </c>
      <c r="AC62" s="90">
        <f t="shared" si="17"/>
        <v>0</v>
      </c>
      <c r="AD62" s="90">
        <f t="shared" si="18"/>
        <v>0</v>
      </c>
      <c r="AE62" s="90">
        <f t="shared" si="19"/>
        <v>0</v>
      </c>
      <c r="AF62" s="90">
        <f t="shared" si="20"/>
        <v>0</v>
      </c>
      <c r="AG62" s="90">
        <f t="shared" si="21"/>
        <v>1</v>
      </c>
      <c r="AH62" s="90">
        <f t="shared" si="22"/>
        <v>0</v>
      </c>
      <c r="AI62" s="90">
        <f t="shared" si="23"/>
        <v>0</v>
      </c>
      <c r="AJ62" s="90">
        <f t="shared" si="24"/>
        <v>0</v>
      </c>
      <c r="AK62" s="90">
        <f t="shared" si="25"/>
        <v>1.5</v>
      </c>
      <c r="AL62" s="90">
        <f t="shared" si="26"/>
        <v>1.5</v>
      </c>
      <c r="AM62" s="91">
        <f t="shared" si="27"/>
        <v>16</v>
      </c>
      <c r="AO62" s="92" t="s">
        <v>154</v>
      </c>
      <c r="AP62" s="92" t="s">
        <v>155</v>
      </c>
      <c r="AQ62" s="92">
        <v>1900673</v>
      </c>
      <c r="AR62" s="41">
        <f t="shared" si="35"/>
        <v>16</v>
      </c>
      <c r="AS62" s="36">
        <f t="shared" si="36"/>
        <v>5</v>
      </c>
      <c r="AU62" s="1" t="s">
        <v>26</v>
      </c>
      <c r="AV62" s="1">
        <v>0</v>
      </c>
      <c r="AW62" s="1">
        <f>AV62</f>
        <v>0</v>
      </c>
      <c r="AY62" s="20">
        <v>5</v>
      </c>
      <c r="BA62" s="1">
        <f>COUNTIF($AS$15:$AS$80,AY62)</f>
        <v>12</v>
      </c>
    </row>
    <row r="63" spans="1:53" ht="16.8" thickTop="1" thickBot="1" x14ac:dyDescent="0.35">
      <c r="A63" s="65"/>
      <c r="B63" s="62">
        <v>49</v>
      </c>
      <c r="C63" s="92" t="s">
        <v>156</v>
      </c>
      <c r="D63" s="92" t="s">
        <v>157</v>
      </c>
      <c r="E63" s="92">
        <v>1903773</v>
      </c>
      <c r="F63" s="96">
        <v>2</v>
      </c>
      <c r="G63" s="96">
        <v>0.5</v>
      </c>
      <c r="H63" s="96">
        <v>6</v>
      </c>
      <c r="I63" s="96">
        <v>2</v>
      </c>
      <c r="J63" s="96">
        <v>6</v>
      </c>
      <c r="K63" s="96">
        <v>3</v>
      </c>
      <c r="L63" s="96">
        <v>0</v>
      </c>
      <c r="M63" s="96">
        <v>0</v>
      </c>
      <c r="N63" s="96">
        <v>11</v>
      </c>
      <c r="O63" s="96">
        <v>1</v>
      </c>
      <c r="P63" s="96">
        <v>0</v>
      </c>
      <c r="Q63" s="96">
        <v>0</v>
      </c>
      <c r="R63" s="96">
        <v>0</v>
      </c>
      <c r="S63" s="96">
        <v>0</v>
      </c>
      <c r="T63" s="96">
        <v>1.5</v>
      </c>
      <c r="U63" s="96">
        <v>0</v>
      </c>
      <c r="V63" s="96"/>
      <c r="W63" s="90">
        <f t="shared" si="11"/>
        <v>2</v>
      </c>
      <c r="X63" s="90">
        <f t="shared" si="12"/>
        <v>0.5</v>
      </c>
      <c r="Y63" s="90">
        <f t="shared" si="13"/>
        <v>6</v>
      </c>
      <c r="Z63" s="90">
        <f t="shared" si="14"/>
        <v>2</v>
      </c>
      <c r="AA63" s="90">
        <f t="shared" si="15"/>
        <v>6</v>
      </c>
      <c r="AB63" s="90">
        <f t="shared" si="16"/>
        <v>3</v>
      </c>
      <c r="AC63" s="90">
        <f t="shared" si="17"/>
        <v>0</v>
      </c>
      <c r="AD63" s="90">
        <f t="shared" si="18"/>
        <v>0</v>
      </c>
      <c r="AE63" s="90">
        <f t="shared" si="19"/>
        <v>11</v>
      </c>
      <c r="AF63" s="90">
        <f t="shared" si="20"/>
        <v>1</v>
      </c>
      <c r="AG63" s="90">
        <f t="shared" si="21"/>
        <v>0</v>
      </c>
      <c r="AH63" s="90">
        <f t="shared" si="22"/>
        <v>0</v>
      </c>
      <c r="AI63" s="90">
        <f t="shared" si="23"/>
        <v>0</v>
      </c>
      <c r="AJ63" s="90">
        <f t="shared" si="24"/>
        <v>0</v>
      </c>
      <c r="AK63" s="90">
        <f t="shared" si="25"/>
        <v>1.5</v>
      </c>
      <c r="AL63" s="90">
        <f t="shared" si="26"/>
        <v>0</v>
      </c>
      <c r="AM63" s="91">
        <f t="shared" si="27"/>
        <v>33</v>
      </c>
      <c r="AO63" s="92" t="s">
        <v>156</v>
      </c>
      <c r="AP63" s="92" t="s">
        <v>157</v>
      </c>
      <c r="AQ63" s="92">
        <v>1903773</v>
      </c>
      <c r="AR63" s="41">
        <f>AM63</f>
        <v>33</v>
      </c>
      <c r="AS63" s="36">
        <f t="shared" si="36"/>
        <v>4</v>
      </c>
      <c r="AU63" s="37" t="s">
        <v>13</v>
      </c>
      <c r="AV63" s="38">
        <f>AV13</f>
        <v>30</v>
      </c>
      <c r="AW63" s="1">
        <f>AV63</f>
        <v>30</v>
      </c>
      <c r="AY63" s="46">
        <v>4</v>
      </c>
      <c r="BA63" s="1">
        <f>COUNTIF($AS$15:$AS$80,AY63)</f>
        <v>3</v>
      </c>
    </row>
    <row r="64" spans="1:53" ht="16.2" thickTop="1" x14ac:dyDescent="0.3">
      <c r="A64" s="65"/>
      <c r="B64" s="62"/>
      <c r="C64" s="92" t="s">
        <v>158</v>
      </c>
      <c r="D64" s="92" t="s">
        <v>159</v>
      </c>
      <c r="E64" s="92">
        <v>1881758</v>
      </c>
      <c r="F64" s="72">
        <v>2</v>
      </c>
      <c r="G64" s="72">
        <v>1</v>
      </c>
      <c r="H64" s="72">
        <v>6</v>
      </c>
      <c r="I64" s="72">
        <v>0</v>
      </c>
      <c r="J64" s="72">
        <v>2</v>
      </c>
      <c r="K64" s="72">
        <v>3</v>
      </c>
      <c r="L64" s="72">
        <v>5</v>
      </c>
      <c r="M64" s="72">
        <v>4</v>
      </c>
      <c r="N64" s="72">
        <v>10</v>
      </c>
      <c r="O64" s="72">
        <v>5</v>
      </c>
      <c r="P64" s="72">
        <v>1</v>
      </c>
      <c r="Q64" s="72">
        <v>0</v>
      </c>
      <c r="R64" s="72">
        <v>1</v>
      </c>
      <c r="S64" s="72">
        <v>0</v>
      </c>
      <c r="T64" s="72">
        <v>0</v>
      </c>
      <c r="U64" s="72">
        <v>0</v>
      </c>
      <c r="V64" s="72"/>
      <c r="W64" s="90">
        <f t="shared" si="11"/>
        <v>2</v>
      </c>
      <c r="X64" s="90">
        <f t="shared" si="12"/>
        <v>1</v>
      </c>
      <c r="Y64" s="90">
        <f t="shared" si="13"/>
        <v>6</v>
      </c>
      <c r="Z64" s="90">
        <f t="shared" si="14"/>
        <v>0</v>
      </c>
      <c r="AA64" s="90">
        <f t="shared" si="15"/>
        <v>2</v>
      </c>
      <c r="AB64" s="90">
        <f t="shared" si="16"/>
        <v>3</v>
      </c>
      <c r="AC64" s="90">
        <f t="shared" si="17"/>
        <v>5</v>
      </c>
      <c r="AD64" s="90">
        <f t="shared" si="18"/>
        <v>4</v>
      </c>
      <c r="AE64" s="90">
        <f t="shared" si="19"/>
        <v>10</v>
      </c>
      <c r="AF64" s="90">
        <f t="shared" si="20"/>
        <v>5</v>
      </c>
      <c r="AG64" s="90">
        <f t="shared" si="21"/>
        <v>1</v>
      </c>
      <c r="AH64" s="90">
        <f t="shared" si="22"/>
        <v>0</v>
      </c>
      <c r="AI64" s="90">
        <f t="shared" si="23"/>
        <v>1</v>
      </c>
      <c r="AJ64" s="90">
        <f t="shared" si="24"/>
        <v>0</v>
      </c>
      <c r="AK64" s="90">
        <f t="shared" si="25"/>
        <v>0</v>
      </c>
      <c r="AL64" s="90">
        <f t="shared" si="26"/>
        <v>0</v>
      </c>
      <c r="AM64" s="91">
        <f t="shared" si="27"/>
        <v>40</v>
      </c>
      <c r="AO64" s="92" t="s">
        <v>158</v>
      </c>
      <c r="AP64" s="92" t="s">
        <v>159</v>
      </c>
      <c r="AQ64" s="92">
        <v>1881758</v>
      </c>
      <c r="AR64" s="41"/>
      <c r="AS64" s="36"/>
      <c r="AU64" s="37" t="s">
        <v>14</v>
      </c>
      <c r="AV64" s="39">
        <f>AV63+delta</f>
        <v>34.166666666666664</v>
      </c>
      <c r="AW64" s="1">
        <f>ROUND(AV64*2,0)/2</f>
        <v>34</v>
      </c>
      <c r="AY64" s="46">
        <v>3.7</v>
      </c>
      <c r="BA64" s="1">
        <f t="shared" ref="BA64:BA72" si="54">COUNTIF($AS$15:$AS$80,AY64)</f>
        <v>3</v>
      </c>
    </row>
    <row r="65" spans="2:54" ht="15.6" x14ac:dyDescent="0.3">
      <c r="B65" s="62"/>
      <c r="C65" s="92" t="s">
        <v>54</v>
      </c>
      <c r="D65" s="92" t="s">
        <v>160</v>
      </c>
      <c r="E65" s="92">
        <v>1907487</v>
      </c>
      <c r="F65" s="72">
        <v>0.5</v>
      </c>
      <c r="G65" s="72">
        <v>0</v>
      </c>
      <c r="H65" s="72">
        <v>0</v>
      </c>
      <c r="I65" s="72">
        <v>0</v>
      </c>
      <c r="J65" s="72">
        <v>0</v>
      </c>
      <c r="K65" s="72">
        <v>7</v>
      </c>
      <c r="L65" s="72">
        <v>5</v>
      </c>
      <c r="M65" s="72">
        <v>8</v>
      </c>
      <c r="N65" s="72">
        <v>7</v>
      </c>
      <c r="O65" s="72">
        <v>12</v>
      </c>
      <c r="P65" s="72">
        <v>1</v>
      </c>
      <c r="Q65" s="72">
        <v>0</v>
      </c>
      <c r="R65" s="72">
        <v>0</v>
      </c>
      <c r="S65" s="72">
        <v>0</v>
      </c>
      <c r="T65" s="72">
        <v>1.5</v>
      </c>
      <c r="U65" s="72">
        <v>1.5</v>
      </c>
      <c r="V65" s="72"/>
      <c r="W65" s="90">
        <f t="shared" si="11"/>
        <v>0.5</v>
      </c>
      <c r="X65" s="90">
        <f t="shared" si="12"/>
        <v>0</v>
      </c>
      <c r="Y65" s="90">
        <f t="shared" si="13"/>
        <v>0</v>
      </c>
      <c r="Z65" s="90">
        <f t="shared" si="14"/>
        <v>0</v>
      </c>
      <c r="AA65" s="90">
        <f t="shared" si="15"/>
        <v>0</v>
      </c>
      <c r="AB65" s="90">
        <f t="shared" si="16"/>
        <v>7</v>
      </c>
      <c r="AC65" s="90">
        <f t="shared" si="17"/>
        <v>5</v>
      </c>
      <c r="AD65" s="90">
        <f t="shared" si="18"/>
        <v>8</v>
      </c>
      <c r="AE65" s="90">
        <f t="shared" si="19"/>
        <v>7</v>
      </c>
      <c r="AF65" s="90">
        <f t="shared" si="20"/>
        <v>12</v>
      </c>
      <c r="AG65" s="90">
        <f t="shared" si="21"/>
        <v>1</v>
      </c>
      <c r="AH65" s="90">
        <f t="shared" si="22"/>
        <v>0</v>
      </c>
      <c r="AI65" s="90">
        <f t="shared" si="23"/>
        <v>0</v>
      </c>
      <c r="AJ65" s="90">
        <f t="shared" si="24"/>
        <v>0</v>
      </c>
      <c r="AK65" s="90">
        <f t="shared" si="25"/>
        <v>1.5</v>
      </c>
      <c r="AL65" s="90">
        <f t="shared" si="26"/>
        <v>1.5</v>
      </c>
      <c r="AM65" s="91">
        <f t="shared" si="27"/>
        <v>43.5</v>
      </c>
      <c r="AO65" s="92" t="s">
        <v>54</v>
      </c>
      <c r="AP65" s="92" t="s">
        <v>160</v>
      </c>
      <c r="AQ65" s="92">
        <v>1907487</v>
      </c>
      <c r="AR65" s="41"/>
      <c r="AS65" s="36"/>
      <c r="AU65" s="37" t="s">
        <v>15</v>
      </c>
      <c r="AV65" s="39">
        <f t="shared" ref="AV65:AV71" si="55">AV64+delta</f>
        <v>38.333333333333329</v>
      </c>
      <c r="AW65" s="1">
        <f t="shared" ref="AW65:AW71" si="56">ROUND(AV65*2,0)/2</f>
        <v>38.5</v>
      </c>
      <c r="AY65" s="46">
        <v>3.3</v>
      </c>
      <c r="BA65" s="1">
        <f t="shared" si="54"/>
        <v>3</v>
      </c>
    </row>
    <row r="66" spans="2:54" ht="15.6" x14ac:dyDescent="0.3">
      <c r="B66" s="62"/>
      <c r="C66" s="92" t="s">
        <v>161</v>
      </c>
      <c r="D66" s="92" t="s">
        <v>162</v>
      </c>
      <c r="E66" s="92">
        <v>1885842</v>
      </c>
      <c r="F66" s="72">
        <v>0.5</v>
      </c>
      <c r="G66" s="72">
        <v>0.5</v>
      </c>
      <c r="H66" s="72">
        <v>6</v>
      </c>
      <c r="I66" s="72">
        <v>0</v>
      </c>
      <c r="J66" s="72">
        <v>0</v>
      </c>
      <c r="K66" s="72">
        <v>0</v>
      </c>
      <c r="L66" s="72">
        <v>5</v>
      </c>
      <c r="M66" s="72">
        <v>8</v>
      </c>
      <c r="N66" s="72">
        <v>10</v>
      </c>
      <c r="O66" s="72">
        <v>0</v>
      </c>
      <c r="P66" s="72">
        <v>1</v>
      </c>
      <c r="Q66" s="72">
        <v>0</v>
      </c>
      <c r="R66" s="72">
        <v>0</v>
      </c>
      <c r="S66" s="72">
        <v>1</v>
      </c>
      <c r="T66" s="72">
        <v>0</v>
      </c>
      <c r="U66" s="72">
        <v>0</v>
      </c>
      <c r="V66" s="72"/>
      <c r="W66" s="90">
        <f t="shared" si="11"/>
        <v>0.5</v>
      </c>
      <c r="X66" s="90">
        <f t="shared" si="12"/>
        <v>0.5</v>
      </c>
      <c r="Y66" s="90">
        <f t="shared" si="13"/>
        <v>6</v>
      </c>
      <c r="Z66" s="90">
        <f t="shared" si="14"/>
        <v>0</v>
      </c>
      <c r="AA66" s="90">
        <f t="shared" si="15"/>
        <v>0</v>
      </c>
      <c r="AB66" s="90">
        <f t="shared" si="16"/>
        <v>0</v>
      </c>
      <c r="AC66" s="90">
        <f t="shared" si="17"/>
        <v>5</v>
      </c>
      <c r="AD66" s="90">
        <f t="shared" si="18"/>
        <v>8</v>
      </c>
      <c r="AE66" s="90">
        <f t="shared" si="19"/>
        <v>10</v>
      </c>
      <c r="AF66" s="90">
        <f t="shared" si="20"/>
        <v>0</v>
      </c>
      <c r="AG66" s="90">
        <f t="shared" si="21"/>
        <v>1</v>
      </c>
      <c r="AH66" s="90">
        <f t="shared" si="22"/>
        <v>0</v>
      </c>
      <c r="AI66" s="90">
        <f t="shared" si="23"/>
        <v>0</v>
      </c>
      <c r="AJ66" s="90">
        <f t="shared" si="24"/>
        <v>1</v>
      </c>
      <c r="AK66" s="90">
        <f t="shared" si="25"/>
        <v>0</v>
      </c>
      <c r="AL66" s="90">
        <f t="shared" si="26"/>
        <v>0</v>
      </c>
      <c r="AM66" s="91">
        <f t="shared" si="27"/>
        <v>32</v>
      </c>
      <c r="AO66" s="92" t="s">
        <v>161</v>
      </c>
      <c r="AP66" s="92" t="s">
        <v>162</v>
      </c>
      <c r="AQ66" s="92">
        <v>1885842</v>
      </c>
      <c r="AR66" s="41"/>
      <c r="AS66" s="36"/>
      <c r="AU66" s="37" t="s">
        <v>16</v>
      </c>
      <c r="AV66" s="39">
        <f t="shared" si="55"/>
        <v>42.499999999999993</v>
      </c>
      <c r="AW66" s="1">
        <f t="shared" si="56"/>
        <v>42.5</v>
      </c>
      <c r="AY66" s="46">
        <v>3</v>
      </c>
      <c r="BA66" s="1">
        <f t="shared" si="54"/>
        <v>6</v>
      </c>
    </row>
    <row r="67" spans="2:54" ht="15.6" x14ac:dyDescent="0.3">
      <c r="B67" s="62"/>
      <c r="C67" s="92" t="s">
        <v>163</v>
      </c>
      <c r="D67" s="92" t="s">
        <v>164</v>
      </c>
      <c r="E67" s="92">
        <v>1908538</v>
      </c>
      <c r="F67" s="72">
        <v>2</v>
      </c>
      <c r="G67" s="72">
        <v>2</v>
      </c>
      <c r="H67" s="72">
        <v>0</v>
      </c>
      <c r="I67" s="72">
        <v>1</v>
      </c>
      <c r="J67" s="72">
        <v>6</v>
      </c>
      <c r="K67" s="72">
        <v>1</v>
      </c>
      <c r="L67" s="72">
        <v>4</v>
      </c>
      <c r="M67" s="72">
        <v>6</v>
      </c>
      <c r="N67" s="72">
        <v>4</v>
      </c>
      <c r="O67" s="72">
        <v>2</v>
      </c>
      <c r="P67" s="72">
        <v>1</v>
      </c>
      <c r="Q67" s="72">
        <v>0</v>
      </c>
      <c r="R67" s="72">
        <v>1</v>
      </c>
      <c r="S67" s="72">
        <v>1</v>
      </c>
      <c r="T67" s="72">
        <v>0</v>
      </c>
      <c r="U67" s="72">
        <v>1.5</v>
      </c>
      <c r="V67" s="72"/>
      <c r="W67" s="90">
        <f t="shared" si="11"/>
        <v>2</v>
      </c>
      <c r="X67" s="90">
        <f t="shared" si="12"/>
        <v>2</v>
      </c>
      <c r="Y67" s="90">
        <f t="shared" si="13"/>
        <v>0</v>
      </c>
      <c r="Z67" s="90">
        <f t="shared" si="14"/>
        <v>1</v>
      </c>
      <c r="AA67" s="90">
        <f t="shared" si="15"/>
        <v>6</v>
      </c>
      <c r="AB67" s="90">
        <f t="shared" si="16"/>
        <v>1</v>
      </c>
      <c r="AC67" s="90">
        <f t="shared" si="17"/>
        <v>4</v>
      </c>
      <c r="AD67" s="90">
        <f t="shared" si="18"/>
        <v>6</v>
      </c>
      <c r="AE67" s="90">
        <f t="shared" si="19"/>
        <v>4</v>
      </c>
      <c r="AF67" s="90">
        <f t="shared" si="20"/>
        <v>2</v>
      </c>
      <c r="AG67" s="90">
        <f t="shared" si="21"/>
        <v>1</v>
      </c>
      <c r="AH67" s="90">
        <f t="shared" si="22"/>
        <v>0</v>
      </c>
      <c r="AI67" s="90">
        <f t="shared" si="23"/>
        <v>1</v>
      </c>
      <c r="AJ67" s="90">
        <f t="shared" si="24"/>
        <v>1</v>
      </c>
      <c r="AK67" s="90">
        <f t="shared" si="25"/>
        <v>0</v>
      </c>
      <c r="AL67" s="90">
        <f t="shared" si="26"/>
        <v>1.5</v>
      </c>
      <c r="AM67" s="91">
        <f t="shared" si="27"/>
        <v>32.5</v>
      </c>
      <c r="AO67" s="92" t="s">
        <v>163</v>
      </c>
      <c r="AP67" s="92" t="s">
        <v>164</v>
      </c>
      <c r="AQ67" s="92">
        <v>1908538</v>
      </c>
      <c r="AR67" s="41"/>
      <c r="AS67" s="36"/>
      <c r="AU67" s="37" t="s">
        <v>17</v>
      </c>
      <c r="AV67" s="39">
        <f t="shared" si="55"/>
        <v>46.666666666666657</v>
      </c>
      <c r="AW67" s="1">
        <f t="shared" si="56"/>
        <v>46.5</v>
      </c>
      <c r="AY67" s="46">
        <v>2.7</v>
      </c>
      <c r="BA67" s="1">
        <f t="shared" si="54"/>
        <v>7</v>
      </c>
    </row>
    <row r="68" spans="2:54" ht="15.6" x14ac:dyDescent="0.3">
      <c r="B68" s="62"/>
      <c r="C68" s="92" t="s">
        <v>165</v>
      </c>
      <c r="D68" s="92" t="s">
        <v>166</v>
      </c>
      <c r="E68" s="92">
        <v>1877070</v>
      </c>
      <c r="F68" s="72">
        <v>1</v>
      </c>
      <c r="G68" s="72">
        <v>0</v>
      </c>
      <c r="H68" s="72">
        <v>2</v>
      </c>
      <c r="I68" s="72">
        <v>1</v>
      </c>
      <c r="J68" s="72">
        <v>3</v>
      </c>
      <c r="K68" s="72">
        <v>3</v>
      </c>
      <c r="L68" s="72">
        <v>5</v>
      </c>
      <c r="M68" s="72">
        <v>0</v>
      </c>
      <c r="N68" s="72">
        <v>10</v>
      </c>
      <c r="O68" s="72">
        <v>12</v>
      </c>
      <c r="P68" s="72">
        <v>0</v>
      </c>
      <c r="Q68" s="72">
        <v>0</v>
      </c>
      <c r="R68" s="72">
        <v>0</v>
      </c>
      <c r="S68" s="72">
        <v>0</v>
      </c>
      <c r="T68" s="72">
        <v>1.5</v>
      </c>
      <c r="U68" s="72">
        <v>1.5</v>
      </c>
      <c r="V68" s="72"/>
      <c r="W68" s="90">
        <f t="shared" si="11"/>
        <v>1</v>
      </c>
      <c r="X68" s="90">
        <f t="shared" si="12"/>
        <v>0</v>
      </c>
      <c r="Y68" s="90">
        <f t="shared" si="13"/>
        <v>2</v>
      </c>
      <c r="Z68" s="90">
        <f t="shared" si="14"/>
        <v>1</v>
      </c>
      <c r="AA68" s="90">
        <f t="shared" si="15"/>
        <v>3</v>
      </c>
      <c r="AB68" s="90">
        <f t="shared" si="16"/>
        <v>3</v>
      </c>
      <c r="AC68" s="90">
        <f t="shared" si="17"/>
        <v>5</v>
      </c>
      <c r="AD68" s="90">
        <f t="shared" si="18"/>
        <v>0</v>
      </c>
      <c r="AE68" s="90">
        <f t="shared" si="19"/>
        <v>10</v>
      </c>
      <c r="AF68" s="90">
        <f t="shared" si="20"/>
        <v>12</v>
      </c>
      <c r="AG68" s="90">
        <f t="shared" si="21"/>
        <v>0</v>
      </c>
      <c r="AH68" s="90">
        <f t="shared" si="22"/>
        <v>0</v>
      </c>
      <c r="AI68" s="90">
        <f t="shared" si="23"/>
        <v>0</v>
      </c>
      <c r="AJ68" s="90">
        <f t="shared" si="24"/>
        <v>0</v>
      </c>
      <c r="AK68" s="90">
        <f t="shared" si="25"/>
        <v>1.5</v>
      </c>
      <c r="AL68" s="90">
        <f t="shared" si="26"/>
        <v>1.5</v>
      </c>
      <c r="AM68" s="91">
        <f t="shared" si="27"/>
        <v>40</v>
      </c>
      <c r="AO68" s="92" t="s">
        <v>165</v>
      </c>
      <c r="AP68" s="92" t="s">
        <v>166</v>
      </c>
      <c r="AQ68" s="92">
        <v>1877070</v>
      </c>
      <c r="AR68" s="41"/>
      <c r="AS68" s="36"/>
      <c r="AU68" s="37" t="s">
        <v>18</v>
      </c>
      <c r="AV68" s="39">
        <f t="shared" si="55"/>
        <v>50.833333333333321</v>
      </c>
      <c r="AW68" s="1">
        <f t="shared" si="56"/>
        <v>51</v>
      </c>
      <c r="AY68" s="46">
        <v>2.2999999999999998</v>
      </c>
      <c r="BA68" s="1">
        <f t="shared" si="54"/>
        <v>4</v>
      </c>
    </row>
    <row r="69" spans="2:54" ht="15.6" x14ac:dyDescent="0.3">
      <c r="B69" s="6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90">
        <f t="shared" si="11"/>
        <v>0</v>
      </c>
      <c r="X69" s="90">
        <f t="shared" si="12"/>
        <v>0</v>
      </c>
      <c r="Y69" s="90">
        <f t="shared" si="13"/>
        <v>0</v>
      </c>
      <c r="Z69" s="90">
        <f t="shared" si="14"/>
        <v>0</v>
      </c>
      <c r="AA69" s="90">
        <f t="shared" si="15"/>
        <v>0</v>
      </c>
      <c r="AB69" s="90">
        <f t="shared" si="16"/>
        <v>0</v>
      </c>
      <c r="AC69" s="90">
        <f t="shared" si="17"/>
        <v>0</v>
      </c>
      <c r="AD69" s="90">
        <f t="shared" si="18"/>
        <v>0</v>
      </c>
      <c r="AE69" s="90">
        <f t="shared" si="19"/>
        <v>0</v>
      </c>
      <c r="AF69" s="90">
        <f t="shared" si="20"/>
        <v>0</v>
      </c>
      <c r="AG69" s="90">
        <f t="shared" si="21"/>
        <v>0</v>
      </c>
      <c r="AH69" s="90">
        <f t="shared" si="22"/>
        <v>0</v>
      </c>
      <c r="AI69" s="90">
        <f t="shared" si="23"/>
        <v>0</v>
      </c>
      <c r="AJ69" s="90">
        <f t="shared" si="24"/>
        <v>0</v>
      </c>
      <c r="AK69" s="90">
        <f t="shared" si="25"/>
        <v>0</v>
      </c>
      <c r="AL69" s="90">
        <f t="shared" si="26"/>
        <v>0</v>
      </c>
      <c r="AM69" s="91">
        <f t="shared" si="27"/>
        <v>0</v>
      </c>
      <c r="AO69" s="40"/>
      <c r="AP69" s="40"/>
      <c r="AQ69" s="41"/>
      <c r="AR69" s="41"/>
      <c r="AS69" s="36"/>
      <c r="AU69" s="37" t="s">
        <v>19</v>
      </c>
      <c r="AV69" s="39">
        <f t="shared" si="55"/>
        <v>54.999999999999986</v>
      </c>
      <c r="AW69" s="1">
        <f t="shared" si="56"/>
        <v>55</v>
      </c>
      <c r="AY69" s="46">
        <v>2</v>
      </c>
      <c r="BA69" s="1">
        <f t="shared" si="54"/>
        <v>6</v>
      </c>
    </row>
    <row r="70" spans="2:54" ht="15.6" x14ac:dyDescent="0.3">
      <c r="B70" s="6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90">
        <f t="shared" si="11"/>
        <v>0</v>
      </c>
      <c r="X70" s="90">
        <f t="shared" si="12"/>
        <v>0</v>
      </c>
      <c r="Y70" s="90">
        <f t="shared" si="13"/>
        <v>0</v>
      </c>
      <c r="Z70" s="90">
        <f t="shared" si="14"/>
        <v>0</v>
      </c>
      <c r="AA70" s="90">
        <f t="shared" si="15"/>
        <v>0</v>
      </c>
      <c r="AB70" s="90">
        <f t="shared" si="16"/>
        <v>0</v>
      </c>
      <c r="AC70" s="90">
        <f t="shared" si="17"/>
        <v>0</v>
      </c>
      <c r="AD70" s="90">
        <f t="shared" si="18"/>
        <v>0</v>
      </c>
      <c r="AE70" s="90">
        <f t="shared" si="19"/>
        <v>0</v>
      </c>
      <c r="AF70" s="90">
        <f t="shared" si="20"/>
        <v>0</v>
      </c>
      <c r="AG70" s="90">
        <f t="shared" si="21"/>
        <v>0</v>
      </c>
      <c r="AH70" s="90">
        <f t="shared" si="22"/>
        <v>0</v>
      </c>
      <c r="AI70" s="90">
        <f t="shared" si="23"/>
        <v>0</v>
      </c>
      <c r="AJ70" s="90">
        <f t="shared" si="24"/>
        <v>0</v>
      </c>
      <c r="AK70" s="90">
        <f t="shared" si="25"/>
        <v>0</v>
      </c>
      <c r="AL70" s="90">
        <f t="shared" si="26"/>
        <v>0</v>
      </c>
      <c r="AM70" s="91">
        <f t="shared" si="27"/>
        <v>0</v>
      </c>
      <c r="AO70" s="40"/>
      <c r="AP70" s="40"/>
      <c r="AQ70" s="41"/>
      <c r="AR70" s="41"/>
      <c r="AS70" s="36"/>
      <c r="AU70" s="37" t="s">
        <v>20</v>
      </c>
      <c r="AV70" s="39">
        <f t="shared" si="55"/>
        <v>59.16666666666665</v>
      </c>
      <c r="AW70" s="1">
        <f t="shared" si="56"/>
        <v>59</v>
      </c>
      <c r="AY70" s="46">
        <v>1.7</v>
      </c>
      <c r="BA70" s="1">
        <f t="shared" si="54"/>
        <v>3</v>
      </c>
    </row>
    <row r="71" spans="2:54" ht="16.2" thickBot="1" x14ac:dyDescent="0.35">
      <c r="B71" s="6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90">
        <f t="shared" si="11"/>
        <v>0</v>
      </c>
      <c r="X71" s="90">
        <f t="shared" si="12"/>
        <v>0</v>
      </c>
      <c r="Y71" s="90">
        <f t="shared" si="13"/>
        <v>0</v>
      </c>
      <c r="Z71" s="90">
        <f t="shared" si="14"/>
        <v>0</v>
      </c>
      <c r="AA71" s="90">
        <f t="shared" si="15"/>
        <v>0</v>
      </c>
      <c r="AB71" s="90">
        <f t="shared" si="16"/>
        <v>0</v>
      </c>
      <c r="AC71" s="90">
        <f t="shared" si="17"/>
        <v>0</v>
      </c>
      <c r="AD71" s="90">
        <f t="shared" si="18"/>
        <v>0</v>
      </c>
      <c r="AE71" s="90">
        <f t="shared" si="19"/>
        <v>0</v>
      </c>
      <c r="AF71" s="90">
        <f t="shared" si="20"/>
        <v>0</v>
      </c>
      <c r="AG71" s="90">
        <f t="shared" si="21"/>
        <v>0</v>
      </c>
      <c r="AH71" s="90">
        <f t="shared" si="22"/>
        <v>0</v>
      </c>
      <c r="AI71" s="90">
        <f t="shared" si="23"/>
        <v>0</v>
      </c>
      <c r="AJ71" s="90">
        <f t="shared" si="24"/>
        <v>0</v>
      </c>
      <c r="AK71" s="90">
        <f t="shared" si="25"/>
        <v>0</v>
      </c>
      <c r="AL71" s="90">
        <f t="shared" si="26"/>
        <v>0</v>
      </c>
      <c r="AM71" s="91">
        <f t="shared" si="27"/>
        <v>0</v>
      </c>
      <c r="AO71" s="40"/>
      <c r="AP71" s="40"/>
      <c r="AQ71" s="41"/>
      <c r="AR71" s="41"/>
      <c r="AS71" s="36"/>
      <c r="AU71" s="37" t="s">
        <v>21</v>
      </c>
      <c r="AV71" s="39">
        <f t="shared" si="55"/>
        <v>63.333333333333314</v>
      </c>
      <c r="AW71" s="1">
        <f t="shared" si="56"/>
        <v>63.5</v>
      </c>
      <c r="AY71" s="46">
        <v>1.3</v>
      </c>
      <c r="BA71" s="1">
        <f t="shared" si="54"/>
        <v>1</v>
      </c>
    </row>
    <row r="72" spans="2:54" ht="16.8" thickTop="1" thickBot="1" x14ac:dyDescent="0.35">
      <c r="B72" s="6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90">
        <f t="shared" si="11"/>
        <v>0</v>
      </c>
      <c r="X72" s="90">
        <f t="shared" si="12"/>
        <v>0</v>
      </c>
      <c r="Y72" s="90">
        <f t="shared" si="13"/>
        <v>0</v>
      </c>
      <c r="Z72" s="90">
        <f t="shared" si="14"/>
        <v>0</v>
      </c>
      <c r="AA72" s="90">
        <f t="shared" si="15"/>
        <v>0</v>
      </c>
      <c r="AB72" s="90">
        <f t="shared" si="16"/>
        <v>0</v>
      </c>
      <c r="AC72" s="90">
        <f t="shared" si="17"/>
        <v>0</v>
      </c>
      <c r="AD72" s="90">
        <f t="shared" si="18"/>
        <v>0</v>
      </c>
      <c r="AE72" s="90">
        <f t="shared" si="19"/>
        <v>0</v>
      </c>
      <c r="AF72" s="90">
        <f t="shared" si="20"/>
        <v>0</v>
      </c>
      <c r="AG72" s="90">
        <f t="shared" si="21"/>
        <v>0</v>
      </c>
      <c r="AH72" s="90">
        <f t="shared" si="22"/>
        <v>0</v>
      </c>
      <c r="AI72" s="90">
        <f t="shared" si="23"/>
        <v>0</v>
      </c>
      <c r="AJ72" s="90">
        <f t="shared" si="24"/>
        <v>0</v>
      </c>
      <c r="AK72" s="90">
        <f t="shared" si="25"/>
        <v>0</v>
      </c>
      <c r="AL72" s="90">
        <f t="shared" si="26"/>
        <v>0</v>
      </c>
      <c r="AM72" s="91">
        <f t="shared" si="27"/>
        <v>0</v>
      </c>
      <c r="AO72" s="40"/>
      <c r="AP72" s="40"/>
      <c r="AQ72" s="41"/>
      <c r="AR72" s="41"/>
      <c r="AS72" s="36"/>
      <c r="AU72" s="37" t="s">
        <v>22</v>
      </c>
      <c r="AV72" s="38">
        <f>AV14</f>
        <v>67.5</v>
      </c>
      <c r="AW72" s="1">
        <f>AV72</f>
        <v>67.5</v>
      </c>
      <c r="AY72" s="46">
        <v>1</v>
      </c>
      <c r="BA72" s="1">
        <f t="shared" si="54"/>
        <v>1</v>
      </c>
    </row>
    <row r="73" spans="2:54" ht="16.2" thickTop="1" x14ac:dyDescent="0.3">
      <c r="B73" s="6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90">
        <f t="shared" si="11"/>
        <v>0</v>
      </c>
      <c r="X73" s="90">
        <f t="shared" si="12"/>
        <v>0</v>
      </c>
      <c r="Y73" s="90">
        <f t="shared" si="13"/>
        <v>0</v>
      </c>
      <c r="Z73" s="90">
        <f t="shared" si="14"/>
        <v>0</v>
      </c>
      <c r="AA73" s="90">
        <f t="shared" si="15"/>
        <v>0</v>
      </c>
      <c r="AB73" s="90">
        <f t="shared" si="16"/>
        <v>0</v>
      </c>
      <c r="AC73" s="90">
        <f t="shared" si="17"/>
        <v>0</v>
      </c>
      <c r="AD73" s="90">
        <f t="shared" si="18"/>
        <v>0</v>
      </c>
      <c r="AE73" s="90">
        <f t="shared" si="19"/>
        <v>0</v>
      </c>
      <c r="AF73" s="90">
        <f t="shared" si="20"/>
        <v>0</v>
      </c>
      <c r="AG73" s="90">
        <f t="shared" si="21"/>
        <v>0</v>
      </c>
      <c r="AH73" s="90">
        <f t="shared" si="22"/>
        <v>0</v>
      </c>
      <c r="AI73" s="90">
        <f t="shared" si="23"/>
        <v>0</v>
      </c>
      <c r="AJ73" s="90">
        <f t="shared" si="24"/>
        <v>0</v>
      </c>
      <c r="AK73" s="90">
        <f t="shared" si="25"/>
        <v>0</v>
      </c>
      <c r="AL73" s="90">
        <f t="shared" si="26"/>
        <v>0</v>
      </c>
      <c r="AM73" s="91">
        <f t="shared" si="27"/>
        <v>0</v>
      </c>
      <c r="AO73" s="40"/>
      <c r="AP73" s="40"/>
      <c r="AQ73" s="41"/>
      <c r="AR73" s="41"/>
      <c r="AS73" s="36"/>
    </row>
    <row r="74" spans="2:54" ht="15.6" x14ac:dyDescent="0.3">
      <c r="B74" s="6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90">
        <f t="shared" si="11"/>
        <v>0</v>
      </c>
      <c r="X74" s="90">
        <f t="shared" si="12"/>
        <v>0</v>
      </c>
      <c r="Y74" s="90">
        <f t="shared" si="13"/>
        <v>0</v>
      </c>
      <c r="Z74" s="90">
        <f t="shared" si="14"/>
        <v>0</v>
      </c>
      <c r="AA74" s="90">
        <f t="shared" si="15"/>
        <v>0</v>
      </c>
      <c r="AB74" s="90">
        <f t="shared" si="16"/>
        <v>0</v>
      </c>
      <c r="AC74" s="90">
        <f t="shared" si="17"/>
        <v>0</v>
      </c>
      <c r="AD74" s="90">
        <f t="shared" si="18"/>
        <v>0</v>
      </c>
      <c r="AE74" s="90">
        <f t="shared" si="19"/>
        <v>0</v>
      </c>
      <c r="AF74" s="90">
        <f t="shared" si="20"/>
        <v>0</v>
      </c>
      <c r="AG74" s="90">
        <f t="shared" si="21"/>
        <v>0</v>
      </c>
      <c r="AH74" s="90">
        <f t="shared" si="22"/>
        <v>0</v>
      </c>
      <c r="AI74" s="90">
        <f t="shared" si="23"/>
        <v>0</v>
      </c>
      <c r="AJ74" s="90">
        <f t="shared" si="24"/>
        <v>0</v>
      </c>
      <c r="AK74" s="90">
        <f t="shared" si="25"/>
        <v>0</v>
      </c>
      <c r="AL74" s="90">
        <f t="shared" si="26"/>
        <v>0</v>
      </c>
      <c r="AM74" s="91">
        <f t="shared" si="27"/>
        <v>0</v>
      </c>
      <c r="AO74" s="40"/>
      <c r="AP74" s="40"/>
      <c r="AQ74" s="41"/>
      <c r="AR74" s="41"/>
      <c r="AS74" s="36"/>
      <c r="AU74" s="1" t="s">
        <v>23</v>
      </c>
      <c r="AV74" s="1">
        <f>(AV72-AV63)/9</f>
        <v>4.166666666666667</v>
      </c>
      <c r="BA74" s="1">
        <f>SUM(BA62:BA73)</f>
        <v>49</v>
      </c>
      <c r="BB74" s="1">
        <f>SUM(AS15:AS80)/Teilnehmer</f>
        <v>3.2346938775510203</v>
      </c>
    </row>
    <row r="75" spans="2:54" ht="15.6" x14ac:dyDescent="0.3">
      <c r="B75" s="6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90">
        <f t="shared" si="11"/>
        <v>0</v>
      </c>
      <c r="X75" s="90">
        <f t="shared" si="12"/>
        <v>0</v>
      </c>
      <c r="Y75" s="90">
        <f t="shared" si="13"/>
        <v>0</v>
      </c>
      <c r="Z75" s="90">
        <f t="shared" si="14"/>
        <v>0</v>
      </c>
      <c r="AA75" s="90">
        <f t="shared" si="15"/>
        <v>0</v>
      </c>
      <c r="AB75" s="90">
        <f t="shared" si="16"/>
        <v>0</v>
      </c>
      <c r="AC75" s="90">
        <f t="shared" si="17"/>
        <v>0</v>
      </c>
      <c r="AD75" s="90">
        <f t="shared" si="18"/>
        <v>0</v>
      </c>
      <c r="AE75" s="90">
        <f t="shared" si="19"/>
        <v>0</v>
      </c>
      <c r="AF75" s="90">
        <f t="shared" si="20"/>
        <v>0</v>
      </c>
      <c r="AG75" s="90">
        <f t="shared" si="21"/>
        <v>0</v>
      </c>
      <c r="AH75" s="90">
        <f t="shared" si="22"/>
        <v>0</v>
      </c>
      <c r="AI75" s="90">
        <f t="shared" si="23"/>
        <v>0</v>
      </c>
      <c r="AJ75" s="90">
        <f t="shared" si="24"/>
        <v>0</v>
      </c>
      <c r="AK75" s="90">
        <f t="shared" si="25"/>
        <v>0</v>
      </c>
      <c r="AL75" s="90">
        <f t="shared" si="26"/>
        <v>0</v>
      </c>
      <c r="AM75" s="91">
        <f t="shared" si="27"/>
        <v>0</v>
      </c>
      <c r="AO75" s="40"/>
      <c r="AP75" s="40"/>
      <c r="AQ75" s="41"/>
      <c r="AR75" s="41"/>
      <c r="AS75" s="36"/>
      <c r="BA75" s="1" t="s">
        <v>24</v>
      </c>
      <c r="BB75" s="1" t="s">
        <v>25</v>
      </c>
    </row>
    <row r="76" spans="2:54" ht="15.6" x14ac:dyDescent="0.3">
      <c r="B76" s="6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90">
        <f t="shared" si="11"/>
        <v>0</v>
      </c>
      <c r="X76" s="90">
        <f t="shared" si="12"/>
        <v>0</v>
      </c>
      <c r="Y76" s="90">
        <f t="shared" si="13"/>
        <v>0</v>
      </c>
      <c r="Z76" s="90">
        <f t="shared" si="14"/>
        <v>0</v>
      </c>
      <c r="AA76" s="90">
        <f t="shared" si="15"/>
        <v>0</v>
      </c>
      <c r="AB76" s="90">
        <f t="shared" si="16"/>
        <v>0</v>
      </c>
      <c r="AC76" s="90">
        <f t="shared" si="17"/>
        <v>0</v>
      </c>
      <c r="AD76" s="90">
        <f t="shared" si="18"/>
        <v>0</v>
      </c>
      <c r="AE76" s="90">
        <f t="shared" si="19"/>
        <v>0</v>
      </c>
      <c r="AF76" s="90">
        <f t="shared" si="20"/>
        <v>0</v>
      </c>
      <c r="AG76" s="90">
        <f t="shared" si="21"/>
        <v>0</v>
      </c>
      <c r="AH76" s="90">
        <f t="shared" si="22"/>
        <v>0</v>
      </c>
      <c r="AI76" s="90">
        <f t="shared" si="23"/>
        <v>0</v>
      </c>
      <c r="AJ76" s="90">
        <f t="shared" si="24"/>
        <v>0</v>
      </c>
      <c r="AK76" s="90">
        <f t="shared" si="25"/>
        <v>0</v>
      </c>
      <c r="AL76" s="90">
        <f t="shared" si="26"/>
        <v>0</v>
      </c>
      <c r="AM76" s="91">
        <f t="shared" si="27"/>
        <v>0</v>
      </c>
      <c r="AO76" s="40"/>
      <c r="AP76" s="40"/>
      <c r="AQ76" s="41"/>
      <c r="AR76" s="41"/>
      <c r="AS76" s="36"/>
    </row>
    <row r="77" spans="2:54" ht="15.6" x14ac:dyDescent="0.3">
      <c r="B77" s="6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90">
        <f t="shared" si="11"/>
        <v>0</v>
      </c>
      <c r="X77" s="90">
        <f t="shared" si="12"/>
        <v>0</v>
      </c>
      <c r="Y77" s="90">
        <f t="shared" si="13"/>
        <v>0</v>
      </c>
      <c r="Z77" s="90">
        <f t="shared" si="14"/>
        <v>0</v>
      </c>
      <c r="AA77" s="90">
        <f t="shared" si="15"/>
        <v>0</v>
      </c>
      <c r="AB77" s="90">
        <f t="shared" si="16"/>
        <v>0</v>
      </c>
      <c r="AC77" s="90">
        <f t="shared" si="17"/>
        <v>0</v>
      </c>
      <c r="AD77" s="90">
        <f t="shared" si="18"/>
        <v>0</v>
      </c>
      <c r="AE77" s="90">
        <f t="shared" si="19"/>
        <v>0</v>
      </c>
      <c r="AF77" s="90">
        <f t="shared" si="20"/>
        <v>0</v>
      </c>
      <c r="AG77" s="90">
        <f t="shared" si="21"/>
        <v>0</v>
      </c>
      <c r="AH77" s="90">
        <f t="shared" si="22"/>
        <v>0</v>
      </c>
      <c r="AI77" s="90">
        <f t="shared" si="23"/>
        <v>0</v>
      </c>
      <c r="AJ77" s="90">
        <f t="shared" si="24"/>
        <v>0</v>
      </c>
      <c r="AK77" s="90">
        <f t="shared" si="25"/>
        <v>0</v>
      </c>
      <c r="AL77" s="90">
        <f t="shared" si="26"/>
        <v>0</v>
      </c>
      <c r="AM77" s="91">
        <f t="shared" si="27"/>
        <v>0</v>
      </c>
      <c r="AO77" s="40"/>
      <c r="AP77" s="40"/>
      <c r="AQ77" s="41"/>
      <c r="AR77" s="41"/>
      <c r="AS77" s="36"/>
    </row>
    <row r="78" spans="2:54" ht="15.6" x14ac:dyDescent="0.3">
      <c r="B78" s="6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90">
        <f t="shared" si="11"/>
        <v>0</v>
      </c>
      <c r="X78" s="90">
        <f t="shared" si="12"/>
        <v>0</v>
      </c>
      <c r="Y78" s="90">
        <f t="shared" si="13"/>
        <v>0</v>
      </c>
      <c r="Z78" s="90">
        <f t="shared" si="14"/>
        <v>0</v>
      </c>
      <c r="AA78" s="90">
        <f t="shared" si="15"/>
        <v>0</v>
      </c>
      <c r="AB78" s="90">
        <f t="shared" si="16"/>
        <v>0</v>
      </c>
      <c r="AC78" s="90">
        <f t="shared" si="17"/>
        <v>0</v>
      </c>
      <c r="AD78" s="90">
        <f t="shared" si="18"/>
        <v>0</v>
      </c>
      <c r="AE78" s="90">
        <f t="shared" si="19"/>
        <v>0</v>
      </c>
      <c r="AF78" s="90">
        <f t="shared" si="20"/>
        <v>0</v>
      </c>
      <c r="AG78" s="90">
        <f t="shared" si="21"/>
        <v>0</v>
      </c>
      <c r="AH78" s="90">
        <f t="shared" si="22"/>
        <v>0</v>
      </c>
      <c r="AI78" s="90">
        <f t="shared" si="23"/>
        <v>0</v>
      </c>
      <c r="AJ78" s="90">
        <f t="shared" si="24"/>
        <v>0</v>
      </c>
      <c r="AK78" s="90">
        <f t="shared" si="25"/>
        <v>0</v>
      </c>
      <c r="AL78" s="90">
        <f t="shared" si="26"/>
        <v>0</v>
      </c>
      <c r="AM78" s="91">
        <f t="shared" si="27"/>
        <v>0</v>
      </c>
      <c r="AO78" s="40"/>
      <c r="AP78" s="40"/>
      <c r="AQ78" s="41"/>
      <c r="AR78" s="41"/>
      <c r="AS78" s="36"/>
    </row>
    <row r="79" spans="2:54" ht="15.6" x14ac:dyDescent="0.3">
      <c r="B79" s="6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90">
        <f t="shared" si="11"/>
        <v>0</v>
      </c>
      <c r="X79" s="90">
        <f t="shared" si="12"/>
        <v>0</v>
      </c>
      <c r="Y79" s="90">
        <f t="shared" si="13"/>
        <v>0</v>
      </c>
      <c r="Z79" s="90">
        <f t="shared" si="14"/>
        <v>0</v>
      </c>
      <c r="AA79" s="90">
        <f t="shared" si="15"/>
        <v>0</v>
      </c>
      <c r="AB79" s="90">
        <f t="shared" si="16"/>
        <v>0</v>
      </c>
      <c r="AC79" s="90">
        <f t="shared" si="17"/>
        <v>0</v>
      </c>
      <c r="AD79" s="90">
        <f t="shared" si="18"/>
        <v>0</v>
      </c>
      <c r="AE79" s="90">
        <f t="shared" si="19"/>
        <v>0</v>
      </c>
      <c r="AF79" s="90">
        <f t="shared" si="20"/>
        <v>0</v>
      </c>
      <c r="AG79" s="90">
        <f t="shared" si="21"/>
        <v>0</v>
      </c>
      <c r="AH79" s="90">
        <f t="shared" si="22"/>
        <v>0</v>
      </c>
      <c r="AI79" s="90">
        <f t="shared" si="23"/>
        <v>0</v>
      </c>
      <c r="AJ79" s="90">
        <f t="shared" si="24"/>
        <v>0</v>
      </c>
      <c r="AK79" s="90">
        <f t="shared" si="25"/>
        <v>0</v>
      </c>
      <c r="AL79" s="90">
        <f t="shared" si="26"/>
        <v>0</v>
      </c>
      <c r="AM79" s="91">
        <f t="shared" si="27"/>
        <v>0</v>
      </c>
      <c r="AO79" s="40"/>
      <c r="AP79" s="40"/>
      <c r="AQ79" s="41"/>
      <c r="AR79" s="41"/>
      <c r="AS79" s="36"/>
    </row>
    <row r="80" spans="2:54" ht="15.6" x14ac:dyDescent="0.3">
      <c r="B80" s="6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90">
        <f t="shared" ref="W80:X80" si="57">F80*F$4</f>
        <v>0</v>
      </c>
      <c r="X80" s="90">
        <f t="shared" si="57"/>
        <v>0</v>
      </c>
      <c r="Y80" s="90">
        <f t="shared" ref="Y80:AC80" si="58">H80*H$4</f>
        <v>0</v>
      </c>
      <c r="Z80" s="90">
        <f t="shared" si="58"/>
        <v>0</v>
      </c>
      <c r="AA80" s="90">
        <f t="shared" si="58"/>
        <v>0</v>
      </c>
      <c r="AB80" s="90">
        <f t="shared" si="58"/>
        <v>0</v>
      </c>
      <c r="AC80" s="90">
        <f t="shared" si="58"/>
        <v>0</v>
      </c>
      <c r="AD80" s="90">
        <f t="shared" ref="AD80" si="59">M80*M$4</f>
        <v>0</v>
      </c>
      <c r="AE80" s="90">
        <f t="shared" ref="AE80" si="60">N80*N$4</f>
        <v>0</v>
      </c>
      <c r="AF80" s="90">
        <f t="shared" ref="AF80" si="61">O80*O$4</f>
        <v>0</v>
      </c>
      <c r="AG80" s="90">
        <f t="shared" ref="AG80" si="62">P80*P$4</f>
        <v>0</v>
      </c>
      <c r="AH80" s="90">
        <f t="shared" ref="AH80" si="63">Q80*Q$4</f>
        <v>0</v>
      </c>
      <c r="AI80" s="90">
        <f t="shared" ref="AI80" si="64">R80*R$4</f>
        <v>0</v>
      </c>
      <c r="AJ80" s="90">
        <f t="shared" ref="AJ80" si="65">S80*S$4</f>
        <v>0</v>
      </c>
      <c r="AK80" s="90">
        <f t="shared" ref="AK80" si="66">T80*T$4</f>
        <v>0</v>
      </c>
      <c r="AL80" s="90">
        <f t="shared" ref="AL80" si="67">U80*U$4</f>
        <v>0</v>
      </c>
      <c r="AM80" s="91">
        <f t="shared" ref="AM80" si="68">SUM(W80:AL80)</f>
        <v>0</v>
      </c>
      <c r="AO80" s="40"/>
      <c r="AP80" s="40"/>
      <c r="AQ80" s="41"/>
      <c r="AR80" s="41"/>
      <c r="AS80" s="36"/>
    </row>
  </sheetData>
  <phoneticPr fontId="5" type="noConversion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Tabelle1</vt:lpstr>
      <vt:lpstr>delta</vt:lpstr>
      <vt:lpstr>Grenzen</vt:lpstr>
      <vt:lpstr>noten</vt:lpstr>
      <vt:lpstr>Teilnehmer</vt:lpstr>
    </vt:vector>
  </TitlesOfParts>
  <Company>Universität Siegen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Villwock</dc:creator>
  <cp:lastModifiedBy>Sah, Bikash, Dr.</cp:lastModifiedBy>
  <cp:lastPrinted>2020-10-13T08:17:46Z</cp:lastPrinted>
  <dcterms:created xsi:type="dcterms:W3CDTF">2007-03-07T13:34:58Z</dcterms:created>
  <dcterms:modified xsi:type="dcterms:W3CDTF">2026-03-23T14:23:18Z</dcterms:modified>
</cp:coreProperties>
</file>